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マイドライブ\00.外部HD\10.モットラ\A.クライアント\A100.ママミール\A110.依頼内容\A113.シール\"/>
    </mc:Choice>
  </mc:AlternateContent>
  <xr:revisionPtr revIDLastSave="0" documentId="8_{E4089FC8-3CE7-4D09-8808-42A791B1D1E3}" xr6:coauthVersionLast="47" xr6:coauthVersionMax="47" xr10:uidLastSave="{00000000-0000-0000-0000-000000000000}"/>
  <bookViews>
    <workbookView xWindow="1920" yWindow="1920" windowWidth="17280" windowHeight="9960" firstSheet="1" activeTab="1" xr2:uid="{00000000-000D-0000-FFFF-FFFF00000000}"/>
  </bookViews>
  <sheets>
    <sheet name="Gemini抽出データ" sheetId="5" state="hidden" r:id="rId1"/>
    <sheet name="シール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B23" i="4" l="1"/>
  <c r="FY21" i="4"/>
  <c r="GE21" i="4" s="1"/>
  <c r="GH21" i="4" s="1"/>
  <c r="FY18" i="4"/>
  <c r="FY17" i="4"/>
  <c r="FY16" i="4"/>
  <c r="FY14" i="4"/>
  <c r="FY11" i="4"/>
  <c r="FY10" i="4"/>
  <c r="FY9" i="4"/>
  <c r="HO7" i="4"/>
  <c r="HR7" i="4" s="1"/>
  <c r="HL7" i="4"/>
  <c r="HC7" i="4"/>
  <c r="HF7" i="4" s="1"/>
  <c r="GZ7" i="4"/>
  <c r="GT7" i="4"/>
  <c r="GQ7" i="4"/>
  <c r="GN7" i="4"/>
  <c r="GH7" i="4"/>
  <c r="GE7" i="4"/>
  <c r="GD7" i="4"/>
  <c r="GC7" i="4"/>
  <c r="GB7" i="4"/>
  <c r="GB6" i="4"/>
  <c r="FZ5" i="4"/>
  <c r="GC3" i="4"/>
  <c r="GC2" i="4"/>
  <c r="GE1" i="4"/>
  <c r="GE3" i="4" s="1"/>
  <c r="GC1" i="4"/>
  <c r="GB1" i="4"/>
  <c r="GB20" i="4" s="1"/>
  <c r="FY1" i="4"/>
  <c r="FA46" i="4"/>
  <c r="FA45" i="4"/>
  <c r="FA39" i="4"/>
  <c r="FA31" i="4"/>
  <c r="FD23" i="4"/>
  <c r="FD16" i="4"/>
  <c r="FA11" i="4"/>
  <c r="FD10" i="4"/>
  <c r="FD9" i="4"/>
  <c r="FS7" i="4"/>
  <c r="FV7" i="4" s="1"/>
  <c r="FP7" i="4"/>
  <c r="FG7" i="4"/>
  <c r="FJ7" i="4" s="1"/>
  <c r="FD7" i="4"/>
  <c r="FC7" i="4"/>
  <c r="FB3" i="4"/>
  <c r="FB2" i="4"/>
  <c r="FD1" i="4"/>
  <c r="FB1" i="4"/>
  <c r="FA1" i="4"/>
  <c r="DE49" i="4"/>
  <c r="DE45" i="4"/>
  <c r="DE42" i="4"/>
  <c r="DE39" i="4"/>
  <c r="DE38" i="4"/>
  <c r="DE37" i="4"/>
  <c r="DE28" i="4"/>
  <c r="DH27" i="4"/>
  <c r="DE25" i="4"/>
  <c r="DH24" i="4"/>
  <c r="DH23" i="4"/>
  <c r="EX7" i="4"/>
  <c r="EU7" i="4"/>
  <c r="ER7" i="4"/>
  <c r="EL7" i="4"/>
  <c r="EI7" i="4"/>
  <c r="EF7" i="4"/>
  <c r="DZ7" i="4"/>
  <c r="DW7" i="4"/>
  <c r="DT7" i="4"/>
  <c r="DK7" i="4"/>
  <c r="DN7" i="4" s="1"/>
  <c r="DI7" i="4"/>
  <c r="DH7" i="4"/>
  <c r="DG7" i="4"/>
  <c r="DE4" i="4"/>
  <c r="DI3" i="4"/>
  <c r="DF3" i="4"/>
  <c r="DF2" i="4"/>
  <c r="DE2" i="4"/>
  <c r="DI1" i="4"/>
  <c r="DH1" i="4"/>
  <c r="DF1" i="4"/>
  <c r="DE1" i="4"/>
  <c r="DE24" i="4" s="1"/>
  <c r="BI39" i="4"/>
  <c r="BI35" i="4"/>
  <c r="BI14" i="4"/>
  <c r="BO14" i="4" s="1"/>
  <c r="BR14" i="4" s="1"/>
  <c r="BI10" i="4"/>
  <c r="CY7" i="4"/>
  <c r="DB7" i="4" s="1"/>
  <c r="CV7" i="4"/>
  <c r="CP7" i="4"/>
  <c r="CM7" i="4"/>
  <c r="CJ7" i="4"/>
  <c r="CA7" i="4"/>
  <c r="CD7" i="4" s="1"/>
  <c r="BX7" i="4"/>
  <c r="BR7" i="4"/>
  <c r="BO7" i="4"/>
  <c r="BL7" i="4"/>
  <c r="BJ7" i="4"/>
  <c r="BJ5" i="4"/>
  <c r="BI4" i="4"/>
  <c r="BL1" i="4"/>
  <c r="BL3" i="4" s="1"/>
  <c r="BI1" i="4"/>
  <c r="BI11" i="4" s="1"/>
  <c r="AK49" i="4"/>
  <c r="AQ49" i="4" s="1"/>
  <c r="AT49" i="4" s="1"/>
  <c r="AK46" i="4"/>
  <c r="AK45" i="4"/>
  <c r="AK44" i="4"/>
  <c r="AK42" i="4"/>
  <c r="AQ42" i="4" s="1"/>
  <c r="AT42" i="4" s="1"/>
  <c r="AK39" i="4"/>
  <c r="AK38" i="4"/>
  <c r="AK37" i="4"/>
  <c r="AK35" i="4"/>
  <c r="AQ35" i="4" s="1"/>
  <c r="AT35" i="4" s="1"/>
  <c r="AK32" i="4"/>
  <c r="AK31" i="4"/>
  <c r="AK30" i="4"/>
  <c r="AK28" i="4"/>
  <c r="AQ28" i="4" s="1"/>
  <c r="AT28" i="4" s="1"/>
  <c r="AK25" i="4"/>
  <c r="AK24" i="4"/>
  <c r="AK23" i="4"/>
  <c r="AK21" i="4"/>
  <c r="AQ21" i="4" s="1"/>
  <c r="AT21" i="4" s="1"/>
  <c r="AK18" i="4"/>
  <c r="AK17" i="4"/>
  <c r="AK16" i="4"/>
  <c r="AK14" i="4"/>
  <c r="AQ14" i="4" s="1"/>
  <c r="AT14" i="4" s="1"/>
  <c r="AK11" i="4"/>
  <c r="AK10" i="4"/>
  <c r="AK9" i="4"/>
  <c r="BC7" i="4"/>
  <c r="BF7" i="4" s="1"/>
  <c r="AZ7" i="4"/>
  <c r="AQ7" i="4"/>
  <c r="AT7" i="4" s="1"/>
  <c r="AN7" i="4"/>
  <c r="AK1" i="4"/>
  <c r="AL2" i="4" s="1"/>
  <c r="S7" i="4"/>
  <c r="V7" i="4" s="1"/>
  <c r="P7" i="4"/>
  <c r="AE7" i="4"/>
  <c r="AH7" i="4" s="1"/>
  <c r="AB7" i="4"/>
  <c r="D7" i="4"/>
  <c r="D1" i="4"/>
  <c r="G1" i="4" s="1"/>
  <c r="J1" i="4" s="1"/>
  <c r="A32" i="4"/>
  <c r="A14" i="4"/>
  <c r="G14" i="4" s="1"/>
  <c r="J14" i="4" s="1"/>
  <c r="A11" i="4"/>
  <c r="A9" i="4"/>
  <c r="A18" i="4"/>
  <c r="A16" i="4"/>
  <c r="A28" i="4"/>
  <c r="D28" i="4" s="1"/>
  <c r="A24" i="4"/>
  <c r="A35" i="4"/>
  <c r="D35" i="4" s="1"/>
  <c r="A31" i="4"/>
  <c r="A39" i="4"/>
  <c r="A37" i="4"/>
  <c r="A46" i="4"/>
  <c r="A44" i="4"/>
  <c r="GE2" i="4" l="1"/>
  <c r="GE14" i="4"/>
  <c r="GH14" i="4" s="1"/>
  <c r="GB14" i="4"/>
  <c r="GE48" i="4"/>
  <c r="GE41" i="4"/>
  <c r="GE34" i="4"/>
  <c r="GE27" i="4"/>
  <c r="GE45" i="4"/>
  <c r="GE44" i="4"/>
  <c r="GE38" i="4"/>
  <c r="GE37" i="4"/>
  <c r="GE31" i="4"/>
  <c r="GE30" i="4"/>
  <c r="GE24" i="4"/>
  <c r="GE20" i="4"/>
  <c r="GE13" i="4"/>
  <c r="GE17" i="4"/>
  <c r="GE16" i="4"/>
  <c r="GE10" i="4"/>
  <c r="GE9" i="4"/>
  <c r="GG7" i="4"/>
  <c r="GE23" i="4"/>
  <c r="GF7" i="4"/>
  <c r="GF5" i="4"/>
  <c r="GH1" i="4"/>
  <c r="GE6" i="4"/>
  <c r="GF3" i="4"/>
  <c r="GF2" i="4"/>
  <c r="GF1" i="4"/>
  <c r="GC5" i="4"/>
  <c r="GB9" i="4"/>
  <c r="GB10" i="4"/>
  <c r="GB16" i="4"/>
  <c r="GB17" i="4"/>
  <c r="GB21" i="4"/>
  <c r="FY49" i="4"/>
  <c r="FY46" i="4"/>
  <c r="FY45" i="4"/>
  <c r="FY44" i="4"/>
  <c r="FY42" i="4"/>
  <c r="FY39" i="4"/>
  <c r="FY38" i="4"/>
  <c r="FY37" i="4"/>
  <c r="FY35" i="4"/>
  <c r="FY32" i="4"/>
  <c r="FY31" i="4"/>
  <c r="FY30" i="4"/>
  <c r="FY28" i="4"/>
  <c r="FY25" i="4"/>
  <c r="FY24" i="4"/>
  <c r="FY2" i="4"/>
  <c r="FY3" i="4"/>
  <c r="FY4" i="4"/>
  <c r="FZ7" i="4"/>
  <c r="GB13" i="4"/>
  <c r="FZ1" i="4"/>
  <c r="FZ2" i="4"/>
  <c r="FZ3" i="4"/>
  <c r="GA7" i="4"/>
  <c r="GB48" i="4"/>
  <c r="GB41" i="4"/>
  <c r="GB34" i="4"/>
  <c r="GB27" i="4"/>
  <c r="GB45" i="4"/>
  <c r="GB44" i="4"/>
  <c r="GB38" i="4"/>
  <c r="GB37" i="4"/>
  <c r="GB31" i="4"/>
  <c r="GB30" i="4"/>
  <c r="GB24" i="4"/>
  <c r="GB2" i="4"/>
  <c r="GB3" i="4"/>
  <c r="FY23" i="4"/>
  <c r="FA25" i="4"/>
  <c r="FA23" i="4"/>
  <c r="FA32" i="4"/>
  <c r="FA30" i="4"/>
  <c r="FA28" i="4"/>
  <c r="FA24" i="4"/>
  <c r="FA2" i="4"/>
  <c r="FA3" i="4"/>
  <c r="FA4" i="4"/>
  <c r="FB7" i="4"/>
  <c r="FA16" i="4"/>
  <c r="FA18" i="4"/>
  <c r="FA35" i="4"/>
  <c r="FA38" i="4"/>
  <c r="FD48" i="4"/>
  <c r="FD41" i="4"/>
  <c r="FD34" i="4"/>
  <c r="FD27" i="4"/>
  <c r="FD30" i="4"/>
  <c r="FD20" i="4"/>
  <c r="FD13" i="4"/>
  <c r="FD24" i="4"/>
  <c r="FD45" i="4"/>
  <c r="FD44" i="4"/>
  <c r="FD38" i="4"/>
  <c r="FD37" i="4"/>
  <c r="FD31" i="4"/>
  <c r="FD2" i="4"/>
  <c r="FD3" i="4"/>
  <c r="FA14" i="4"/>
  <c r="FA37" i="4"/>
  <c r="FE1" i="4"/>
  <c r="FE2" i="4"/>
  <c r="FE3" i="4"/>
  <c r="FE7" i="4"/>
  <c r="FA44" i="4"/>
  <c r="FG1" i="4"/>
  <c r="FB5" i="4"/>
  <c r="FD6" i="4"/>
  <c r="FF7" i="4"/>
  <c r="FA9" i="4"/>
  <c r="FA10" i="4"/>
  <c r="FA17" i="4"/>
  <c r="FA21" i="4"/>
  <c r="FA42" i="4"/>
  <c r="FE5" i="4"/>
  <c r="FD17" i="4"/>
  <c r="FA49" i="4"/>
  <c r="DK42" i="4"/>
  <c r="DN42" i="4" s="1"/>
  <c r="DH42" i="4"/>
  <c r="DH48" i="4"/>
  <c r="DH41" i="4"/>
  <c r="DJ7" i="4"/>
  <c r="DH6" i="4"/>
  <c r="DK1" i="4"/>
  <c r="DH38" i="4"/>
  <c r="DH34" i="4"/>
  <c r="DH17" i="4"/>
  <c r="DH16" i="4"/>
  <c r="DH10" i="4"/>
  <c r="DI5" i="4"/>
  <c r="DH45" i="4"/>
  <c r="DH44" i="4"/>
  <c r="DI2" i="4"/>
  <c r="DH20" i="4"/>
  <c r="DH2" i="4"/>
  <c r="DH13" i="4"/>
  <c r="DH30" i="4"/>
  <c r="DH3" i="4"/>
  <c r="DH9" i="4"/>
  <c r="DH37" i="4"/>
  <c r="DK49" i="4"/>
  <c r="DN49" i="4" s="1"/>
  <c r="DH49" i="4"/>
  <c r="DK28" i="4"/>
  <c r="DN28" i="4" s="1"/>
  <c r="DH28" i="4"/>
  <c r="DH31" i="4"/>
  <c r="DE21" i="4"/>
  <c r="DE18" i="4"/>
  <c r="DE17" i="4"/>
  <c r="DE16" i="4"/>
  <c r="DE14" i="4"/>
  <c r="DE11" i="4"/>
  <c r="DE10" i="4"/>
  <c r="DE9" i="4"/>
  <c r="DF5" i="4"/>
  <c r="DE46" i="4"/>
  <c r="DE44" i="4"/>
  <c r="DE35" i="4"/>
  <c r="DE32" i="4"/>
  <c r="DE31" i="4"/>
  <c r="DE30" i="4"/>
  <c r="DE23" i="4"/>
  <c r="DE3" i="4"/>
  <c r="DF7" i="4"/>
  <c r="BM1" i="4"/>
  <c r="BL10" i="4"/>
  <c r="BL14" i="4"/>
  <c r="BI3" i="4"/>
  <c r="BM5" i="4"/>
  <c r="BN7" i="4"/>
  <c r="BI9" i="4"/>
  <c r="BL2" i="4"/>
  <c r="BO35" i="4"/>
  <c r="BR35" i="4" s="1"/>
  <c r="BL35" i="4"/>
  <c r="BL48" i="4"/>
  <c r="BL41" i="4"/>
  <c r="BL38" i="4"/>
  <c r="BL24" i="4"/>
  <c r="BL23" i="4"/>
  <c r="BL45" i="4"/>
  <c r="BL27" i="4"/>
  <c r="BL37" i="4"/>
  <c r="BL31" i="4"/>
  <c r="BL30" i="4"/>
  <c r="BL44" i="4"/>
  <c r="BL34" i="4"/>
  <c r="BL17" i="4"/>
  <c r="BL16" i="4"/>
  <c r="BL20" i="4"/>
  <c r="BL13" i="4"/>
  <c r="BI46" i="4"/>
  <c r="BI44" i="4"/>
  <c r="BI21" i="4"/>
  <c r="BI18" i="4"/>
  <c r="BI17" i="4"/>
  <c r="BI16" i="4"/>
  <c r="BI42" i="4"/>
  <c r="BI38" i="4"/>
  <c r="BI28" i="4"/>
  <c r="BI25" i="4"/>
  <c r="BI24" i="4"/>
  <c r="BI23" i="4"/>
  <c r="BI49" i="4"/>
  <c r="BI45" i="4"/>
  <c r="BI37" i="4"/>
  <c r="BI32" i="4"/>
  <c r="BI30" i="4"/>
  <c r="BK7" i="4"/>
  <c r="BJ3" i="4"/>
  <c r="BI2" i="4"/>
  <c r="BM3" i="4"/>
  <c r="BL9" i="4"/>
  <c r="BI31" i="4"/>
  <c r="BM2" i="4"/>
  <c r="BO1" i="4"/>
  <c r="BM7" i="4"/>
  <c r="BJ1" i="4"/>
  <c r="BJ2" i="4"/>
  <c r="BL6" i="4"/>
  <c r="AK3" i="4"/>
  <c r="AL7" i="4"/>
  <c r="AK2" i="4"/>
  <c r="AL3" i="4"/>
  <c r="AN14" i="4"/>
  <c r="AN21" i="4"/>
  <c r="AN28" i="4"/>
  <c r="AN35" i="4"/>
  <c r="AN42" i="4"/>
  <c r="AN49" i="4"/>
  <c r="AM7" i="4"/>
  <c r="AN1" i="4"/>
  <c r="AL5" i="4"/>
  <c r="AL1" i="4"/>
  <c r="AK4" i="4"/>
  <c r="J48" i="4"/>
  <c r="J23" i="4"/>
  <c r="K2" i="4"/>
  <c r="K7" i="4"/>
  <c r="J38" i="4"/>
  <c r="J20" i="4"/>
  <c r="A8" i="4"/>
  <c r="J37" i="4"/>
  <c r="J10" i="4"/>
  <c r="J34" i="4"/>
  <c r="J9" i="4"/>
  <c r="L7" i="4"/>
  <c r="J24" i="4"/>
  <c r="J6" i="4"/>
  <c r="J2" i="4"/>
  <c r="K5" i="4"/>
  <c r="J13" i="4"/>
  <c r="J17" i="4"/>
  <c r="J30" i="4"/>
  <c r="J41" i="4"/>
  <c r="J45" i="4"/>
  <c r="J3" i="4"/>
  <c r="J16" i="4"/>
  <c r="J27" i="4"/>
  <c r="J31" i="4"/>
  <c r="J44" i="4"/>
  <c r="K1" i="4"/>
  <c r="K3" i="4"/>
  <c r="D14" i="4"/>
  <c r="A2" i="4"/>
  <c r="A4" i="4"/>
  <c r="A23" i="4"/>
  <c r="A25" i="4"/>
  <c r="B1" i="4"/>
  <c r="B2" i="4"/>
  <c r="B3" i="4"/>
  <c r="B5" i="4"/>
  <c r="B7" i="4"/>
  <c r="A3" i="4"/>
  <c r="A38" i="4"/>
  <c r="A42" i="4"/>
  <c r="D42" i="4" s="1"/>
  <c r="A17" i="4"/>
  <c r="A21" i="4"/>
  <c r="D21" i="4" s="1"/>
  <c r="A10" i="4"/>
  <c r="C7" i="4"/>
  <c r="A45" i="4"/>
  <c r="A49" i="4"/>
  <c r="A30" i="4"/>
  <c r="G28" i="4"/>
  <c r="J28" i="4" s="1"/>
  <c r="G35" i="4"/>
  <c r="J35" i="4" s="1"/>
  <c r="GE28" i="4" l="1"/>
  <c r="GH28" i="4" s="1"/>
  <c r="GB28" i="4"/>
  <c r="GE35" i="4"/>
  <c r="GH35" i="4" s="1"/>
  <c r="GB35" i="4"/>
  <c r="GE49" i="4"/>
  <c r="GH49" i="4" s="1"/>
  <c r="GB49" i="4"/>
  <c r="GE42" i="4"/>
  <c r="GH42" i="4" s="1"/>
  <c r="GB42" i="4"/>
  <c r="GH48" i="4"/>
  <c r="GH45" i="4"/>
  <c r="GH44" i="4"/>
  <c r="GH41" i="4"/>
  <c r="GH38" i="4"/>
  <c r="GH37" i="4"/>
  <c r="GH34" i="4"/>
  <c r="GH31" i="4"/>
  <c r="GH30" i="4"/>
  <c r="GH27" i="4"/>
  <c r="GH24" i="4"/>
  <c r="GH20" i="4"/>
  <c r="GH17" i="4"/>
  <c r="GH16" i="4"/>
  <c r="GH13" i="4"/>
  <c r="GH10" i="4"/>
  <c r="GH9" i="4"/>
  <c r="GJ7" i="4"/>
  <c r="GI7" i="4"/>
  <c r="GH23" i="4"/>
  <c r="GI5" i="4"/>
  <c r="GI3" i="4"/>
  <c r="GI2" i="4"/>
  <c r="GI1" i="4"/>
  <c r="GH6" i="4"/>
  <c r="GH3" i="4"/>
  <c r="GH2" i="4"/>
  <c r="FY8" i="4"/>
  <c r="FG14" i="4"/>
  <c r="FJ14" i="4" s="1"/>
  <c r="FD14" i="4"/>
  <c r="FG48" i="4"/>
  <c r="FG41" i="4"/>
  <c r="FG45" i="4"/>
  <c r="FG44" i="4"/>
  <c r="FG38" i="4"/>
  <c r="FG37" i="4"/>
  <c r="FG31" i="4"/>
  <c r="FG30" i="4"/>
  <c r="FG24" i="4"/>
  <c r="FG23" i="4"/>
  <c r="FG20" i="4"/>
  <c r="FG13" i="4"/>
  <c r="FG17" i="4"/>
  <c r="FG16" i="4"/>
  <c r="FG27" i="4"/>
  <c r="FG34" i="4"/>
  <c r="FG6" i="4"/>
  <c r="FH3" i="4"/>
  <c r="FH2" i="4"/>
  <c r="FH1" i="4"/>
  <c r="FI7" i="4"/>
  <c r="FG3" i="4"/>
  <c r="FG2" i="4"/>
  <c r="FG10" i="4"/>
  <c r="FG9" i="4"/>
  <c r="FJ1" i="4"/>
  <c r="FH5" i="4"/>
  <c r="FH7" i="4"/>
  <c r="FG35" i="4"/>
  <c r="FJ35" i="4" s="1"/>
  <c r="FD35" i="4"/>
  <c r="FG21" i="4"/>
  <c r="FJ21" i="4" s="1"/>
  <c r="FD21" i="4"/>
  <c r="FG28" i="4"/>
  <c r="FJ28" i="4" s="1"/>
  <c r="FD28" i="4"/>
  <c r="FG49" i="4"/>
  <c r="FJ49" i="4" s="1"/>
  <c r="FD49" i="4"/>
  <c r="FG42" i="4"/>
  <c r="FJ42" i="4" s="1"/>
  <c r="FD42" i="4"/>
  <c r="DK35" i="4"/>
  <c r="DN35" i="4" s="1"/>
  <c r="DH35" i="4"/>
  <c r="DH21" i="4"/>
  <c r="DK21" i="4"/>
  <c r="DN21" i="4" s="1"/>
  <c r="DK45" i="4"/>
  <c r="DK44" i="4"/>
  <c r="DK38" i="4"/>
  <c r="DK37" i="4"/>
  <c r="DK34" i="4"/>
  <c r="DK3" i="4"/>
  <c r="DK2" i="4"/>
  <c r="DK41" i="4"/>
  <c r="DK24" i="4"/>
  <c r="DL2" i="4"/>
  <c r="DK48" i="4"/>
  <c r="DK20" i="4"/>
  <c r="DK27" i="4"/>
  <c r="DK9" i="4"/>
  <c r="DK6" i="4"/>
  <c r="DM7" i="4"/>
  <c r="DK23" i="4"/>
  <c r="DN1" i="4"/>
  <c r="DL1" i="4"/>
  <c r="DK30" i="4"/>
  <c r="DK16" i="4"/>
  <c r="DK13" i="4"/>
  <c r="DK31" i="4"/>
  <c r="DK17" i="4"/>
  <c r="DL7" i="4"/>
  <c r="DL5" i="4"/>
  <c r="DL3" i="4"/>
  <c r="DK10" i="4"/>
  <c r="DK14" i="4"/>
  <c r="DN14" i="4" s="1"/>
  <c r="DH14" i="4"/>
  <c r="BO21" i="4"/>
  <c r="BR21" i="4" s="1"/>
  <c r="BL21" i="4"/>
  <c r="BO49" i="4"/>
  <c r="BR49" i="4" s="1"/>
  <c r="BL49" i="4"/>
  <c r="BO45" i="4"/>
  <c r="BO44" i="4"/>
  <c r="BO38" i="4"/>
  <c r="BO37" i="4"/>
  <c r="BO41" i="4"/>
  <c r="BO48" i="4"/>
  <c r="BO31" i="4"/>
  <c r="BO30" i="4"/>
  <c r="BO34" i="4"/>
  <c r="BO20" i="4"/>
  <c r="BO13" i="4"/>
  <c r="BO10" i="4"/>
  <c r="BO9" i="4"/>
  <c r="BQ7" i="4"/>
  <c r="BO3" i="4"/>
  <c r="BO16" i="4"/>
  <c r="BP7" i="4"/>
  <c r="BP2" i="4"/>
  <c r="BP1" i="4"/>
  <c r="BO6" i="4"/>
  <c r="BP5" i="4"/>
  <c r="BO24" i="4"/>
  <c r="BP3" i="4"/>
  <c r="BO27" i="4"/>
  <c r="BO17" i="4"/>
  <c r="BR1" i="4"/>
  <c r="BO23" i="4"/>
  <c r="BO2" i="4"/>
  <c r="BO28" i="4"/>
  <c r="BR28" i="4" s="1"/>
  <c r="BL28" i="4"/>
  <c r="BO42" i="4"/>
  <c r="BR42" i="4" s="1"/>
  <c r="BL42" i="4"/>
  <c r="AP7" i="4"/>
  <c r="AQ1" i="4"/>
  <c r="AN9" i="4"/>
  <c r="AO7" i="4"/>
  <c r="AO5" i="4"/>
  <c r="AO3" i="4"/>
  <c r="AO2" i="4"/>
  <c r="AO1" i="4"/>
  <c r="AN6" i="4"/>
  <c r="AN3" i="4"/>
  <c r="AN2" i="4"/>
  <c r="AN48" i="4"/>
  <c r="AN45" i="4"/>
  <c r="AN44" i="4"/>
  <c r="AN41" i="4"/>
  <c r="AN38" i="4"/>
  <c r="AN37" i="4"/>
  <c r="AN34" i="4"/>
  <c r="AN31" i="4"/>
  <c r="AN30" i="4"/>
  <c r="AN27" i="4"/>
  <c r="AN24" i="4"/>
  <c r="AN23" i="4"/>
  <c r="AN20" i="4"/>
  <c r="AN17" i="4"/>
  <c r="AN16" i="4"/>
  <c r="AN13" i="4"/>
  <c r="AN10" i="4"/>
  <c r="G21" i="4"/>
  <c r="J21" i="4" s="1"/>
  <c r="G42" i="4"/>
  <c r="J42" i="4" s="1"/>
  <c r="G7" i="4"/>
  <c r="D49" i="4"/>
  <c r="G49" i="4"/>
  <c r="J49" i="4" s="1"/>
  <c r="E3" i="4"/>
  <c r="E2" i="4"/>
  <c r="E1" i="4"/>
  <c r="D17" i="4"/>
  <c r="D38" i="4"/>
  <c r="D20" i="4"/>
  <c r="D24" i="4"/>
  <c r="D6" i="4"/>
  <c r="E5" i="4"/>
  <c r="D3" i="4"/>
  <c r="D2" i="4"/>
  <c r="D27" i="4"/>
  <c r="D23" i="4"/>
  <c r="D31" i="4"/>
  <c r="D44" i="4"/>
  <c r="D37" i="4"/>
  <c r="F7" i="4"/>
  <c r="D13" i="4"/>
  <c r="D48" i="4"/>
  <c r="D9" i="4"/>
  <c r="D16" i="4"/>
  <c r="D41" i="4"/>
  <c r="D45" i="4"/>
  <c r="E7" i="4"/>
  <c r="D10" i="4"/>
  <c r="D34" i="4"/>
  <c r="D30" i="4"/>
  <c r="FZ12" i="4" l="1"/>
  <c r="GA14" i="4"/>
  <c r="GB8" i="4"/>
  <c r="FZ14" i="4"/>
  <c r="FZ10" i="4"/>
  <c r="FZ9" i="4"/>
  <c r="FZ8" i="4"/>
  <c r="FJ48" i="4"/>
  <c r="FJ45" i="4"/>
  <c r="FJ44" i="4"/>
  <c r="FJ41" i="4"/>
  <c r="FJ38" i="4"/>
  <c r="FJ37" i="4"/>
  <c r="FJ34" i="4"/>
  <c r="FJ31" i="4"/>
  <c r="FJ30" i="4"/>
  <c r="FJ27" i="4"/>
  <c r="FJ24" i="4"/>
  <c r="FJ23" i="4"/>
  <c r="FJ20" i="4"/>
  <c r="FJ17" i="4"/>
  <c r="FJ16" i="4"/>
  <c r="FJ13" i="4"/>
  <c r="FJ10" i="4"/>
  <c r="FK3" i="4"/>
  <c r="FK1" i="4"/>
  <c r="FA8" i="4"/>
  <c r="FJ9" i="4"/>
  <c r="FL7" i="4"/>
  <c r="FK7" i="4"/>
  <c r="FK2" i="4"/>
  <c r="FK5" i="4"/>
  <c r="FJ6" i="4"/>
  <c r="FJ3" i="4"/>
  <c r="FJ2" i="4"/>
  <c r="DN48" i="4"/>
  <c r="DN45" i="4"/>
  <c r="DN44" i="4"/>
  <c r="DN41" i="4"/>
  <c r="DN38" i="4"/>
  <c r="DN37" i="4"/>
  <c r="DN34" i="4"/>
  <c r="DN31" i="4"/>
  <c r="DN30" i="4"/>
  <c r="DN27" i="4"/>
  <c r="DN24" i="4"/>
  <c r="DE8" i="4"/>
  <c r="DN20" i="4"/>
  <c r="DN9" i="4"/>
  <c r="DO7" i="4"/>
  <c r="DN23" i="4"/>
  <c r="DN6" i="4"/>
  <c r="DN13" i="4"/>
  <c r="DO3" i="4"/>
  <c r="DO1" i="4"/>
  <c r="DN2" i="4"/>
  <c r="DN16" i="4"/>
  <c r="DP7" i="4"/>
  <c r="DN17" i="4"/>
  <c r="DO2" i="4"/>
  <c r="DO5" i="4"/>
  <c r="DN10" i="4"/>
  <c r="DN3" i="4"/>
  <c r="BR48" i="4"/>
  <c r="BR45" i="4"/>
  <c r="BR44" i="4"/>
  <c r="BR41" i="4"/>
  <c r="BR38" i="4"/>
  <c r="BR37" i="4"/>
  <c r="BR34" i="4"/>
  <c r="BR31" i="4"/>
  <c r="BR30" i="4"/>
  <c r="BR27" i="4"/>
  <c r="BR24" i="4"/>
  <c r="BR23" i="4"/>
  <c r="BR20" i="4"/>
  <c r="BR17" i="4"/>
  <c r="BR16" i="4"/>
  <c r="BR13" i="4"/>
  <c r="BR10" i="4"/>
  <c r="BR9" i="4"/>
  <c r="BT7" i="4"/>
  <c r="BS7" i="4"/>
  <c r="BS5" i="4"/>
  <c r="BS2" i="4"/>
  <c r="BS1" i="4"/>
  <c r="BI8" i="4"/>
  <c r="BR2" i="4"/>
  <c r="BS3" i="4"/>
  <c r="BR6" i="4"/>
  <c r="BR3" i="4"/>
  <c r="AR5" i="4"/>
  <c r="AQ3" i="4"/>
  <c r="AQ2" i="4"/>
  <c r="AQ6" i="4"/>
  <c r="AQ45" i="4"/>
  <c r="AQ44" i="4"/>
  <c r="AQ38" i="4"/>
  <c r="AQ37" i="4"/>
  <c r="AQ31" i="4"/>
  <c r="AQ30" i="4"/>
  <c r="AQ24" i="4"/>
  <c r="AQ23" i="4"/>
  <c r="AQ17" i="4"/>
  <c r="AQ16" i="4"/>
  <c r="AQ10" i="4"/>
  <c r="AQ9" i="4"/>
  <c r="AQ48" i="4"/>
  <c r="AQ41" i="4"/>
  <c r="AQ34" i="4"/>
  <c r="AQ27" i="4"/>
  <c r="AQ20" i="4"/>
  <c r="AQ13" i="4"/>
  <c r="AS7" i="4"/>
  <c r="AR7" i="4"/>
  <c r="AT1" i="4"/>
  <c r="AR3" i="4"/>
  <c r="AR2" i="4"/>
  <c r="AR1" i="4"/>
  <c r="J7" i="4"/>
  <c r="H5" i="4"/>
  <c r="G27" i="4"/>
  <c r="G23" i="4"/>
  <c r="G13" i="4"/>
  <c r="G9" i="4"/>
  <c r="G37" i="4"/>
  <c r="G24" i="4"/>
  <c r="G31" i="4"/>
  <c r="G48" i="4"/>
  <c r="G44" i="4"/>
  <c r="G16" i="4"/>
  <c r="G41" i="4"/>
  <c r="H2" i="4"/>
  <c r="G10" i="4"/>
  <c r="I7" i="4"/>
  <c r="G20" i="4"/>
  <c r="H3" i="4"/>
  <c r="G34" i="4"/>
  <c r="H7" i="4"/>
  <c r="H1" i="4"/>
  <c r="G38" i="4"/>
  <c r="G6" i="4"/>
  <c r="G30" i="4"/>
  <c r="G45" i="4"/>
  <c r="G3" i="4"/>
  <c r="G2" i="4"/>
  <c r="G17" i="4"/>
  <c r="GD14" i="4" l="1"/>
  <c r="GC12" i="4"/>
  <c r="GC14" i="4"/>
  <c r="GE8" i="4"/>
  <c r="GC10" i="4"/>
  <c r="GC9" i="4"/>
  <c r="GC8" i="4"/>
  <c r="FB12" i="4"/>
  <c r="FB14" i="4"/>
  <c r="FB10" i="4"/>
  <c r="FB9" i="4"/>
  <c r="FB8" i="4"/>
  <c r="FC14" i="4"/>
  <c r="FD8" i="4"/>
  <c r="DG14" i="4"/>
  <c r="DH8" i="4"/>
  <c r="DF14" i="4"/>
  <c r="DF10" i="4"/>
  <c r="DF8" i="4"/>
  <c r="DF12" i="4"/>
  <c r="DF9" i="4"/>
  <c r="BJ12" i="4"/>
  <c r="BJ14" i="4"/>
  <c r="BJ8" i="4"/>
  <c r="BJ9" i="4"/>
  <c r="BJ10" i="4"/>
  <c r="BK14" i="4"/>
  <c r="BL8" i="4"/>
  <c r="AT45" i="4"/>
  <c r="AT44" i="4"/>
  <c r="AT38" i="4"/>
  <c r="AT37" i="4"/>
  <c r="AT31" i="4"/>
  <c r="AT30" i="4"/>
  <c r="AT24" i="4"/>
  <c r="AT23" i="4"/>
  <c r="AT17" i="4"/>
  <c r="AT16" i="4"/>
  <c r="AT10" i="4"/>
  <c r="AT9" i="4"/>
  <c r="AT6" i="4"/>
  <c r="AT48" i="4"/>
  <c r="AT41" i="4"/>
  <c r="AT34" i="4"/>
  <c r="AT27" i="4"/>
  <c r="AT20" i="4"/>
  <c r="AT13" i="4"/>
  <c r="AV7" i="4"/>
  <c r="AU7" i="4"/>
  <c r="AU3" i="4"/>
  <c r="AU2" i="4"/>
  <c r="AU1" i="4"/>
  <c r="AK8" i="4"/>
  <c r="AT3" i="4"/>
  <c r="AT2" i="4"/>
  <c r="AU5" i="4"/>
  <c r="HU14" i="4"/>
  <c r="HU10" i="4"/>
  <c r="HU9" i="4"/>
  <c r="HU12" i="4"/>
  <c r="HU8" i="4"/>
  <c r="HV14" i="4"/>
  <c r="GF12" i="4" l="1"/>
  <c r="GH8" i="4"/>
  <c r="GF10" i="4"/>
  <c r="GF9" i="4"/>
  <c r="GF8" i="4"/>
  <c r="GG14" i="4"/>
  <c r="GF14" i="4"/>
  <c r="FF14" i="4"/>
  <c r="FE12" i="4"/>
  <c r="FE14" i="4"/>
  <c r="FE9" i="4"/>
  <c r="FE8" i="4"/>
  <c r="FG8" i="4"/>
  <c r="FE10" i="4"/>
  <c r="DI12" i="4"/>
  <c r="DI10" i="4"/>
  <c r="DI9" i="4"/>
  <c r="DK8" i="4"/>
  <c r="DI14" i="4"/>
  <c r="DI8" i="4"/>
  <c r="DJ14" i="4"/>
  <c r="BN14" i="4"/>
  <c r="BM12" i="4"/>
  <c r="BM14" i="4"/>
  <c r="BO8" i="4"/>
  <c r="BM9" i="4"/>
  <c r="BM8" i="4"/>
  <c r="BM10" i="4"/>
  <c r="AM14" i="4"/>
  <c r="AL12" i="4"/>
  <c r="AN8" i="4"/>
  <c r="AL14" i="4"/>
  <c r="AL10" i="4"/>
  <c r="AL9" i="4"/>
  <c r="AL8" i="4"/>
  <c r="HU40" i="4"/>
  <c r="HU37" i="4"/>
  <c r="HV42" i="4"/>
  <c r="HU36" i="4"/>
  <c r="HU42" i="4"/>
  <c r="HU38" i="4"/>
  <c r="HU5" i="4"/>
  <c r="HV7" i="4"/>
  <c r="HU1" i="4"/>
  <c r="HU7" i="4"/>
  <c r="HU3" i="4"/>
  <c r="HU2" i="4"/>
  <c r="HU30" i="4"/>
  <c r="HU33" i="4"/>
  <c r="HU35" i="4"/>
  <c r="HV35" i="4"/>
  <c r="HU29" i="4"/>
  <c r="HU31" i="4"/>
  <c r="C14" i="4"/>
  <c r="B10" i="4"/>
  <c r="B12" i="4"/>
  <c r="B9" i="4"/>
  <c r="B14" i="4"/>
  <c r="B8" i="4"/>
  <c r="D8" i="4"/>
  <c r="GJ14" i="4" l="1"/>
  <c r="GI14" i="4"/>
  <c r="FY15" i="4"/>
  <c r="GI12" i="4"/>
  <c r="GI10" i="4"/>
  <c r="GI9" i="4"/>
  <c r="GI8" i="4"/>
  <c r="FH12" i="4"/>
  <c r="FH10" i="4"/>
  <c r="FI14" i="4"/>
  <c r="FH14" i="4"/>
  <c r="FH9" i="4"/>
  <c r="FJ8" i="4"/>
  <c r="FH8" i="4"/>
  <c r="DM14" i="4"/>
  <c r="DL12" i="4"/>
  <c r="DL9" i="4"/>
  <c r="DN8" i="4"/>
  <c r="DL14" i="4"/>
  <c r="DL8" i="4"/>
  <c r="DL10" i="4"/>
  <c r="BP12" i="4"/>
  <c r="BR8" i="4"/>
  <c r="BP10" i="4"/>
  <c r="BP9" i="4"/>
  <c r="BP8" i="4"/>
  <c r="BQ14" i="4"/>
  <c r="BP14" i="4"/>
  <c r="AP14" i="4"/>
  <c r="AO14" i="4"/>
  <c r="AQ8" i="4"/>
  <c r="AO12" i="4"/>
  <c r="AO10" i="4"/>
  <c r="AO9" i="4"/>
  <c r="AO8" i="4"/>
  <c r="HV49" i="4"/>
  <c r="HU43" i="4"/>
  <c r="HU49" i="4"/>
  <c r="HU45" i="4"/>
  <c r="HU47" i="4"/>
  <c r="HU44" i="4"/>
  <c r="HU26" i="4"/>
  <c r="HV28" i="4"/>
  <c r="HU22" i="4"/>
  <c r="HU28" i="4"/>
  <c r="HU24" i="4"/>
  <c r="HU23" i="4"/>
  <c r="HU16" i="4"/>
  <c r="HU19" i="4"/>
  <c r="HV21" i="4"/>
  <c r="HU15" i="4"/>
  <c r="HU21" i="4"/>
  <c r="HU17" i="4"/>
  <c r="F14" i="4"/>
  <c r="E14" i="4"/>
  <c r="E8" i="4"/>
  <c r="E12" i="4"/>
  <c r="E10" i="4"/>
  <c r="E9" i="4"/>
  <c r="G8" i="4"/>
  <c r="J8" i="4" s="1"/>
  <c r="FZ19" i="4" l="1"/>
  <c r="GA21" i="4"/>
  <c r="GB15" i="4"/>
  <c r="FZ21" i="4"/>
  <c r="FZ17" i="4"/>
  <c r="FZ16" i="4"/>
  <c r="FZ15" i="4"/>
  <c r="FL14" i="4"/>
  <c r="FA15" i="4"/>
  <c r="FK9" i="4"/>
  <c r="FK8" i="4"/>
  <c r="FK10" i="4"/>
  <c r="FK12" i="4"/>
  <c r="FK14" i="4"/>
  <c r="DE15" i="4"/>
  <c r="DP14" i="4"/>
  <c r="DO14" i="4"/>
  <c r="DO12" i="4"/>
  <c r="DO10" i="4"/>
  <c r="DO9" i="4"/>
  <c r="DO8" i="4"/>
  <c r="BI15" i="4"/>
  <c r="BS14" i="4"/>
  <c r="BT14" i="4"/>
  <c r="BS12" i="4"/>
  <c r="BS9" i="4"/>
  <c r="BS10" i="4"/>
  <c r="BS8" i="4"/>
  <c r="AR14" i="4"/>
  <c r="AT8" i="4"/>
  <c r="AR10" i="4"/>
  <c r="AR9" i="4"/>
  <c r="AR8" i="4"/>
  <c r="AR12" i="4"/>
  <c r="AS14" i="4"/>
  <c r="K14" i="4"/>
  <c r="K8" i="4"/>
  <c r="L14" i="4"/>
  <c r="K10" i="4"/>
  <c r="K9" i="4"/>
  <c r="K12" i="4"/>
  <c r="H8" i="4"/>
  <c r="I14" i="4"/>
  <c r="H14" i="4"/>
  <c r="H9" i="4"/>
  <c r="H12" i="4"/>
  <c r="H10" i="4"/>
  <c r="GD21" i="4" l="1"/>
  <c r="GC19" i="4"/>
  <c r="GC21" i="4"/>
  <c r="GE15" i="4"/>
  <c r="GC17" i="4"/>
  <c r="GC16" i="4"/>
  <c r="GC15" i="4"/>
  <c r="FB19" i="4"/>
  <c r="FB21" i="4"/>
  <c r="FB17" i="4"/>
  <c r="FB16" i="4"/>
  <c r="FB15" i="4"/>
  <c r="FC21" i="4"/>
  <c r="FD15" i="4"/>
  <c r="DG21" i="4"/>
  <c r="DH15" i="4"/>
  <c r="DF21" i="4"/>
  <c r="DF17" i="4"/>
  <c r="DF16" i="4"/>
  <c r="DF15" i="4"/>
  <c r="DF19" i="4"/>
  <c r="BK21" i="4"/>
  <c r="BL15" i="4"/>
  <c r="BJ21" i="4"/>
  <c r="BJ17" i="4"/>
  <c r="BJ16" i="4"/>
  <c r="BJ15" i="4"/>
  <c r="BJ19" i="4"/>
  <c r="AU10" i="4"/>
  <c r="AU9" i="4"/>
  <c r="AU12" i="4"/>
  <c r="AV14" i="4"/>
  <c r="AU14" i="4"/>
  <c r="AK15" i="4"/>
  <c r="AU8" i="4"/>
  <c r="A15" i="4"/>
  <c r="GF19" i="4" l="1"/>
  <c r="GH15" i="4"/>
  <c r="GF17" i="4"/>
  <c r="GF16" i="4"/>
  <c r="GF15" i="4"/>
  <c r="GG21" i="4"/>
  <c r="GF21" i="4"/>
  <c r="FF21" i="4"/>
  <c r="FE19" i="4"/>
  <c r="FE21" i="4"/>
  <c r="FG15" i="4"/>
  <c r="FE17" i="4"/>
  <c r="FE16" i="4"/>
  <c r="FE15" i="4"/>
  <c r="DI15" i="4"/>
  <c r="DK15" i="4"/>
  <c r="DJ21" i="4"/>
  <c r="DI17" i="4"/>
  <c r="DI19" i="4"/>
  <c r="DI16" i="4"/>
  <c r="DI21" i="4"/>
  <c r="BM17" i="4"/>
  <c r="BM16" i="4"/>
  <c r="BM15" i="4"/>
  <c r="BN21" i="4"/>
  <c r="BM21" i="4"/>
  <c r="BO15" i="4"/>
  <c r="BM19" i="4"/>
  <c r="AM21" i="4"/>
  <c r="AL19" i="4"/>
  <c r="AN15" i="4"/>
  <c r="AL21" i="4"/>
  <c r="AL17" i="4"/>
  <c r="AL16" i="4"/>
  <c r="AL15" i="4"/>
  <c r="B15" i="4"/>
  <c r="B17" i="4"/>
  <c r="B16" i="4"/>
  <c r="B19" i="4"/>
  <c r="C21" i="4"/>
  <c r="D15" i="4"/>
  <c r="B21" i="4"/>
  <c r="FY22" i="4" l="1"/>
  <c r="GJ21" i="4"/>
  <c r="GI21" i="4"/>
  <c r="GI19" i="4"/>
  <c r="GI17" i="4"/>
  <c r="GI16" i="4"/>
  <c r="GI15" i="4"/>
  <c r="FH19" i="4"/>
  <c r="FJ15" i="4"/>
  <c r="FH17" i="4"/>
  <c r="FH16" i="4"/>
  <c r="FH15" i="4"/>
  <c r="FI21" i="4"/>
  <c r="FH21" i="4"/>
  <c r="DM21" i="4"/>
  <c r="DL21" i="4"/>
  <c r="DN15" i="4"/>
  <c r="DL15" i="4"/>
  <c r="DL19" i="4"/>
  <c r="DL17" i="4"/>
  <c r="DL16" i="4"/>
  <c r="BQ21" i="4"/>
  <c r="BP19" i="4"/>
  <c r="BR15" i="4"/>
  <c r="BP21" i="4"/>
  <c r="BP17" i="4"/>
  <c r="BP15" i="4"/>
  <c r="BP16" i="4"/>
  <c r="AP21" i="4"/>
  <c r="AO21" i="4"/>
  <c r="AQ15" i="4"/>
  <c r="AO19" i="4"/>
  <c r="AO17" i="4"/>
  <c r="AO16" i="4"/>
  <c r="AO15" i="4"/>
  <c r="E15" i="4"/>
  <c r="E17" i="4"/>
  <c r="E16" i="4"/>
  <c r="E21" i="4"/>
  <c r="F21" i="4"/>
  <c r="G15" i="4"/>
  <c r="J15" i="4" s="1"/>
  <c r="E19" i="4"/>
  <c r="FZ26" i="4" l="1"/>
  <c r="GA28" i="4"/>
  <c r="GB22" i="4"/>
  <c r="FZ22" i="4"/>
  <c r="FZ28" i="4"/>
  <c r="FZ24" i="4"/>
  <c r="FZ23" i="4"/>
  <c r="FL21" i="4"/>
  <c r="FK19" i="4"/>
  <c r="FK16" i="4"/>
  <c r="FK21" i="4"/>
  <c r="FA22" i="4"/>
  <c r="FK17" i="4"/>
  <c r="FK15" i="4"/>
  <c r="DE22" i="4"/>
  <c r="DO19" i="4"/>
  <c r="DO17" i="4"/>
  <c r="DO16" i="4"/>
  <c r="DO15" i="4"/>
  <c r="DP21" i="4"/>
  <c r="DO21" i="4"/>
  <c r="BI22" i="4"/>
  <c r="BT21" i="4"/>
  <c r="BS21" i="4"/>
  <c r="BS17" i="4"/>
  <c r="BS15" i="4"/>
  <c r="BS19" i="4"/>
  <c r="BS16" i="4"/>
  <c r="AR21" i="4"/>
  <c r="AT15" i="4"/>
  <c r="AR17" i="4"/>
  <c r="AR16" i="4"/>
  <c r="AR15" i="4"/>
  <c r="AR19" i="4"/>
  <c r="AS21" i="4"/>
  <c r="K16" i="4"/>
  <c r="L21" i="4"/>
  <c r="K21" i="4"/>
  <c r="K17" i="4"/>
  <c r="K19" i="4"/>
  <c r="K15" i="4"/>
  <c r="H16" i="4"/>
  <c r="H17" i="4"/>
  <c r="H21" i="4"/>
  <c r="H19" i="4"/>
  <c r="I21" i="4"/>
  <c r="H15" i="4"/>
  <c r="GD28" i="4" l="1"/>
  <c r="GC26" i="4"/>
  <c r="GC28" i="4"/>
  <c r="GC24" i="4"/>
  <c r="GE22" i="4"/>
  <c r="GC22" i="4"/>
  <c r="GC23" i="4"/>
  <c r="FB26" i="4"/>
  <c r="FB23" i="4"/>
  <c r="FC28" i="4"/>
  <c r="FB22" i="4"/>
  <c r="FD22" i="4"/>
  <c r="FB24" i="4"/>
  <c r="FB28" i="4"/>
  <c r="DF23" i="4"/>
  <c r="DF26" i="4"/>
  <c r="DF24" i="4"/>
  <c r="DH22" i="4"/>
  <c r="DF22" i="4"/>
  <c r="DG28" i="4"/>
  <c r="DF28" i="4"/>
  <c r="BK28" i="4"/>
  <c r="BJ24" i="4"/>
  <c r="BJ28" i="4"/>
  <c r="BL22" i="4"/>
  <c r="BJ22" i="4"/>
  <c r="BJ26" i="4"/>
  <c r="BJ23" i="4"/>
  <c r="AU17" i="4"/>
  <c r="AU16" i="4"/>
  <c r="AU15" i="4"/>
  <c r="AU19" i="4"/>
  <c r="AV21" i="4"/>
  <c r="AU21" i="4"/>
  <c r="AK22" i="4"/>
  <c r="A22" i="4"/>
  <c r="GF28" i="4" l="1"/>
  <c r="GF26" i="4"/>
  <c r="GF24" i="4"/>
  <c r="GF23" i="4"/>
  <c r="GG28" i="4"/>
  <c r="GH22" i="4"/>
  <c r="GF22" i="4"/>
  <c r="FE28" i="4"/>
  <c r="FF28" i="4"/>
  <c r="FE24" i="4"/>
  <c r="FG22" i="4"/>
  <c r="FE22" i="4"/>
  <c r="FE26" i="4"/>
  <c r="FE23" i="4"/>
  <c r="DJ28" i="4"/>
  <c r="DI26" i="4"/>
  <c r="DI28" i="4"/>
  <c r="DK22" i="4"/>
  <c r="DI22" i="4"/>
  <c r="DI23" i="4"/>
  <c r="DI24" i="4"/>
  <c r="BM28" i="4"/>
  <c r="BO22" i="4"/>
  <c r="BM22" i="4"/>
  <c r="BM26" i="4"/>
  <c r="BN28" i="4"/>
  <c r="BM24" i="4"/>
  <c r="BM23" i="4"/>
  <c r="AM28" i="4"/>
  <c r="AL26" i="4"/>
  <c r="AN22" i="4"/>
  <c r="AL28" i="4"/>
  <c r="AL24" i="4"/>
  <c r="AL22" i="4"/>
  <c r="AL23" i="4"/>
  <c r="B22" i="4"/>
  <c r="C28" i="4"/>
  <c r="B26" i="4"/>
  <c r="B23" i="4"/>
  <c r="D22" i="4"/>
  <c r="B24" i="4"/>
  <c r="B28" i="4"/>
  <c r="GI26" i="4" l="1"/>
  <c r="GI24" i="4"/>
  <c r="GI23" i="4"/>
  <c r="GJ28" i="4"/>
  <c r="GI28" i="4"/>
  <c r="FY29" i="4"/>
  <c r="GI22" i="4"/>
  <c r="FH28" i="4"/>
  <c r="FH26" i="4"/>
  <c r="FI28" i="4"/>
  <c r="FJ22" i="4"/>
  <c r="FH24" i="4"/>
  <c r="FH22" i="4"/>
  <c r="FH23" i="4"/>
  <c r="DL28" i="4"/>
  <c r="DL26" i="4"/>
  <c r="DL24" i="4"/>
  <c r="DN22" i="4"/>
  <c r="DM28" i="4"/>
  <c r="DL22" i="4"/>
  <c r="DL23" i="4"/>
  <c r="BP28" i="4"/>
  <c r="BP26" i="4"/>
  <c r="BR22" i="4"/>
  <c r="BQ28" i="4"/>
  <c r="BP22" i="4"/>
  <c r="BP23" i="4"/>
  <c r="BP24" i="4"/>
  <c r="AP28" i="4"/>
  <c r="AO28" i="4"/>
  <c r="AQ22" i="4"/>
  <c r="AO26" i="4"/>
  <c r="AO24" i="4"/>
  <c r="AO23" i="4"/>
  <c r="AO22" i="4"/>
  <c r="E24" i="4"/>
  <c r="G22" i="4"/>
  <c r="J22" i="4" s="1"/>
  <c r="F28" i="4"/>
  <c r="E22" i="4"/>
  <c r="E23" i="4"/>
  <c r="E28" i="4"/>
  <c r="E26" i="4"/>
  <c r="FZ33" i="4" l="1"/>
  <c r="GA35" i="4"/>
  <c r="GB29" i="4"/>
  <c r="FZ35" i="4"/>
  <c r="FZ31" i="4"/>
  <c r="FZ29" i="4"/>
  <c r="FZ30" i="4"/>
  <c r="FK26" i="4"/>
  <c r="FK24" i="4"/>
  <c r="FK23" i="4"/>
  <c r="FL28" i="4"/>
  <c r="FA29" i="4"/>
  <c r="FK28" i="4"/>
  <c r="FK22" i="4"/>
  <c r="DO26" i="4"/>
  <c r="DO24" i="4"/>
  <c r="DO23" i="4"/>
  <c r="DE29" i="4"/>
  <c r="DO22" i="4"/>
  <c r="DP28" i="4"/>
  <c r="DO28" i="4"/>
  <c r="BS26" i="4"/>
  <c r="BS24" i="4"/>
  <c r="BS23" i="4"/>
  <c r="BS28" i="4"/>
  <c r="BS22" i="4"/>
  <c r="BI29" i="4"/>
  <c r="BT28" i="4"/>
  <c r="AR28" i="4"/>
  <c r="AT22" i="4"/>
  <c r="AR24" i="4"/>
  <c r="AR23" i="4"/>
  <c r="AR22" i="4"/>
  <c r="AR26" i="4"/>
  <c r="AS28" i="4"/>
  <c r="K23" i="4"/>
  <c r="K26" i="4"/>
  <c r="L28" i="4"/>
  <c r="K28" i="4"/>
  <c r="K24" i="4"/>
  <c r="K22" i="4"/>
  <c r="I28" i="4"/>
  <c r="H26" i="4"/>
  <c r="H23" i="4"/>
  <c r="H24" i="4"/>
  <c r="H28" i="4"/>
  <c r="H22" i="4"/>
  <c r="GD35" i="4" l="1"/>
  <c r="GC33" i="4"/>
  <c r="GC35" i="4"/>
  <c r="GE29" i="4"/>
  <c r="GC31" i="4"/>
  <c r="GC30" i="4"/>
  <c r="GC29" i="4"/>
  <c r="FB33" i="4"/>
  <c r="FB30" i="4"/>
  <c r="FC35" i="4"/>
  <c r="FD29" i="4"/>
  <c r="FB29" i="4"/>
  <c r="FB31" i="4"/>
  <c r="FB35" i="4"/>
  <c r="DF35" i="4"/>
  <c r="DF31" i="4"/>
  <c r="DF30" i="4"/>
  <c r="DF29" i="4"/>
  <c r="DG35" i="4"/>
  <c r="DF33" i="4"/>
  <c r="DH29" i="4"/>
  <c r="BJ33" i="4"/>
  <c r="BK35" i="4"/>
  <c r="BL29" i="4"/>
  <c r="BJ30" i="4"/>
  <c r="BJ31" i="4"/>
  <c r="BJ35" i="4"/>
  <c r="BJ29" i="4"/>
  <c r="AU24" i="4"/>
  <c r="AU23" i="4"/>
  <c r="AU22" i="4"/>
  <c r="AU26" i="4"/>
  <c r="AV28" i="4"/>
  <c r="AU28" i="4"/>
  <c r="AK29" i="4"/>
  <c r="A29" i="4"/>
  <c r="GF35" i="4" l="1"/>
  <c r="GF33" i="4"/>
  <c r="GH29" i="4"/>
  <c r="GF31" i="4"/>
  <c r="GF30" i="4"/>
  <c r="GF29" i="4"/>
  <c r="GG35" i="4"/>
  <c r="FE35" i="4"/>
  <c r="FG29" i="4"/>
  <c r="FE30" i="4"/>
  <c r="FF35" i="4"/>
  <c r="FE29" i="4"/>
  <c r="FE31" i="4"/>
  <c r="FE33" i="4"/>
  <c r="DI35" i="4"/>
  <c r="DI33" i="4"/>
  <c r="DI29" i="4"/>
  <c r="DJ35" i="4"/>
  <c r="DI30" i="4"/>
  <c r="DK29" i="4"/>
  <c r="DI31" i="4"/>
  <c r="BM35" i="4"/>
  <c r="BO29" i="4"/>
  <c r="BN35" i="4"/>
  <c r="BM31" i="4"/>
  <c r="BM29" i="4"/>
  <c r="BM33" i="4"/>
  <c r="BM30" i="4"/>
  <c r="AL35" i="4"/>
  <c r="AL31" i="4"/>
  <c r="AM35" i="4"/>
  <c r="AL33" i="4"/>
  <c r="AN29" i="4"/>
  <c r="AL29" i="4"/>
  <c r="AL30" i="4"/>
  <c r="C35" i="4"/>
  <c r="B33" i="4"/>
  <c r="B30" i="4"/>
  <c r="B29" i="4"/>
  <c r="D29" i="4"/>
  <c r="B31" i="4"/>
  <c r="B35" i="4"/>
  <c r="GI33" i="4" l="1"/>
  <c r="GI31" i="4"/>
  <c r="GI30" i="4"/>
  <c r="GI29" i="4"/>
  <c r="GJ35" i="4"/>
  <c r="GI35" i="4"/>
  <c r="FY36" i="4"/>
  <c r="FH35" i="4"/>
  <c r="FH33" i="4"/>
  <c r="FJ29" i="4"/>
  <c r="FI35" i="4"/>
  <c r="FH31" i="4"/>
  <c r="FH29" i="4"/>
  <c r="FH30" i="4"/>
  <c r="DL35" i="4"/>
  <c r="DL33" i="4"/>
  <c r="DN29" i="4"/>
  <c r="DL31" i="4"/>
  <c r="DM35" i="4"/>
  <c r="DL30" i="4"/>
  <c r="DL29" i="4"/>
  <c r="BP35" i="4"/>
  <c r="BP33" i="4"/>
  <c r="BR29" i="4"/>
  <c r="BQ35" i="4"/>
  <c r="BP31" i="4"/>
  <c r="BP29" i="4"/>
  <c r="BP30" i="4"/>
  <c r="AP35" i="4"/>
  <c r="AO35" i="4"/>
  <c r="AQ29" i="4"/>
  <c r="AO33" i="4"/>
  <c r="AO31" i="4"/>
  <c r="AO30" i="4"/>
  <c r="AO29" i="4"/>
  <c r="E35" i="4"/>
  <c r="F35" i="4"/>
  <c r="E30" i="4"/>
  <c r="G29" i="4"/>
  <c r="J29" i="4" s="1"/>
  <c r="E31" i="4"/>
  <c r="E29" i="4"/>
  <c r="E33" i="4"/>
  <c r="FZ40" i="4" l="1"/>
  <c r="GA42" i="4"/>
  <c r="GB36" i="4"/>
  <c r="FZ42" i="4"/>
  <c r="FZ38" i="4"/>
  <c r="FZ36" i="4"/>
  <c r="FZ37" i="4"/>
  <c r="FK33" i="4"/>
  <c r="FK31" i="4"/>
  <c r="FK30" i="4"/>
  <c r="FK29" i="4"/>
  <c r="FK35" i="4"/>
  <c r="FA36" i="4"/>
  <c r="FL35" i="4"/>
  <c r="DO33" i="4"/>
  <c r="DO31" i="4"/>
  <c r="DO30" i="4"/>
  <c r="DO29" i="4"/>
  <c r="DP35" i="4"/>
  <c r="DE36" i="4"/>
  <c r="DO35" i="4"/>
  <c r="BS33" i="4"/>
  <c r="BS31" i="4"/>
  <c r="BS30" i="4"/>
  <c r="BS29" i="4"/>
  <c r="BI36" i="4"/>
  <c r="BT35" i="4"/>
  <c r="BS35" i="4"/>
  <c r="AR35" i="4"/>
  <c r="AT29" i="4"/>
  <c r="AR31" i="4"/>
  <c r="AR30" i="4"/>
  <c r="AR29" i="4"/>
  <c r="AR33" i="4"/>
  <c r="AS35" i="4"/>
  <c r="K35" i="4"/>
  <c r="K31" i="4"/>
  <c r="K29" i="4"/>
  <c r="K30" i="4"/>
  <c r="K33" i="4"/>
  <c r="L35" i="4"/>
  <c r="H33" i="4"/>
  <c r="I35" i="4"/>
  <c r="H30" i="4"/>
  <c r="H29" i="4"/>
  <c r="H35" i="4"/>
  <c r="H31" i="4"/>
  <c r="GD42" i="4" l="1"/>
  <c r="GC40" i="4"/>
  <c r="GC42" i="4"/>
  <c r="GE36" i="4"/>
  <c r="GC38" i="4"/>
  <c r="GC37" i="4"/>
  <c r="GC36" i="4"/>
  <c r="FB40" i="4"/>
  <c r="FB36" i="4"/>
  <c r="FC42" i="4"/>
  <c r="FB42" i="4"/>
  <c r="FB38" i="4"/>
  <c r="FD36" i="4"/>
  <c r="FB37" i="4"/>
  <c r="DF40" i="4"/>
  <c r="DG42" i="4"/>
  <c r="DH36" i="4"/>
  <c r="DF36" i="4"/>
  <c r="DF38" i="4"/>
  <c r="DF37" i="4"/>
  <c r="DF42" i="4"/>
  <c r="BJ40" i="4"/>
  <c r="BK42" i="4"/>
  <c r="BL36" i="4"/>
  <c r="BJ42" i="4"/>
  <c r="BJ37" i="4"/>
  <c r="BJ36" i="4"/>
  <c r="BJ38" i="4"/>
  <c r="AU31" i="4"/>
  <c r="AU30" i="4"/>
  <c r="AU29" i="4"/>
  <c r="AU33" i="4"/>
  <c r="AV35" i="4"/>
  <c r="AU35" i="4"/>
  <c r="AK36" i="4"/>
  <c r="A36" i="4"/>
  <c r="GF42" i="4" l="1"/>
  <c r="GF40" i="4"/>
  <c r="GH36" i="4"/>
  <c r="GF38" i="4"/>
  <c r="GF37" i="4"/>
  <c r="GF36" i="4"/>
  <c r="GG42" i="4"/>
  <c r="FF42" i="4"/>
  <c r="FE40" i="4"/>
  <c r="FE42" i="4"/>
  <c r="FG36" i="4"/>
  <c r="FE36" i="4"/>
  <c r="FE37" i="4"/>
  <c r="FE38" i="4"/>
  <c r="DI42" i="4"/>
  <c r="DK36" i="4"/>
  <c r="DI38" i="4"/>
  <c r="DI36" i="4"/>
  <c r="DI37" i="4"/>
  <c r="DJ42" i="4"/>
  <c r="DI40" i="4"/>
  <c r="BM42" i="4"/>
  <c r="BO36" i="4"/>
  <c r="BM38" i="4"/>
  <c r="BM36" i="4"/>
  <c r="BM40" i="4"/>
  <c r="BN42" i="4"/>
  <c r="BM37" i="4"/>
  <c r="AL37" i="4"/>
  <c r="AL36" i="4"/>
  <c r="AM42" i="4"/>
  <c r="AL40" i="4"/>
  <c r="AN36" i="4"/>
  <c r="AL42" i="4"/>
  <c r="AL38" i="4"/>
  <c r="B36" i="4"/>
  <c r="B42" i="4"/>
  <c r="B37" i="4"/>
  <c r="D36" i="4"/>
  <c r="B40" i="4"/>
  <c r="C42" i="4"/>
  <c r="B38" i="4"/>
  <c r="GI40" i="4" l="1"/>
  <c r="GI38" i="4"/>
  <c r="GI37" i="4"/>
  <c r="GI36" i="4"/>
  <c r="GJ42" i="4"/>
  <c r="GI42" i="4"/>
  <c r="FY43" i="4"/>
  <c r="FH42" i="4"/>
  <c r="FH40" i="4"/>
  <c r="FJ36" i="4"/>
  <c r="FH38" i="4"/>
  <c r="FH37" i="4"/>
  <c r="FI42" i="4"/>
  <c r="FH36" i="4"/>
  <c r="DL42" i="4"/>
  <c r="DL40" i="4"/>
  <c r="DN36" i="4"/>
  <c r="DL37" i="4"/>
  <c r="DL36" i="4"/>
  <c r="DM42" i="4"/>
  <c r="DL38" i="4"/>
  <c r="BP42" i="4"/>
  <c r="BP40" i="4"/>
  <c r="BR36" i="4"/>
  <c r="BP37" i="4"/>
  <c r="BQ42" i="4"/>
  <c r="BP36" i="4"/>
  <c r="BP38" i="4"/>
  <c r="AP42" i="4"/>
  <c r="AO42" i="4"/>
  <c r="AQ36" i="4"/>
  <c r="AO40" i="4"/>
  <c r="AO38" i="4"/>
  <c r="AO37" i="4"/>
  <c r="AO36" i="4"/>
  <c r="G36" i="4"/>
  <c r="J36" i="4" s="1"/>
  <c r="E37" i="4"/>
  <c r="E36" i="4"/>
  <c r="E42" i="4"/>
  <c r="E38" i="4"/>
  <c r="F42" i="4"/>
  <c r="E40" i="4"/>
  <c r="FZ47" i="4" l="1"/>
  <c r="GA49" i="4"/>
  <c r="GB43" i="4"/>
  <c r="FZ44" i="4"/>
  <c r="FZ49" i="4"/>
  <c r="FZ45" i="4"/>
  <c r="FZ43" i="4"/>
  <c r="FK40" i="4"/>
  <c r="FK38" i="4"/>
  <c r="FK37" i="4"/>
  <c r="FK36" i="4"/>
  <c r="FL42" i="4"/>
  <c r="FK42" i="4"/>
  <c r="FA43" i="4"/>
  <c r="DO40" i="4"/>
  <c r="DO38" i="4"/>
  <c r="DO37" i="4"/>
  <c r="DO36" i="4"/>
  <c r="DE43" i="4"/>
  <c r="DP42" i="4"/>
  <c r="DO42" i="4"/>
  <c r="BS40" i="4"/>
  <c r="BS38" i="4"/>
  <c r="BS37" i="4"/>
  <c r="BS36" i="4"/>
  <c r="BT42" i="4"/>
  <c r="BI43" i="4"/>
  <c r="BS42" i="4"/>
  <c r="AR42" i="4"/>
  <c r="AT36" i="4"/>
  <c r="AR38" i="4"/>
  <c r="AR37" i="4"/>
  <c r="AR36" i="4"/>
  <c r="AR40" i="4"/>
  <c r="AS42" i="4"/>
  <c r="K38" i="4"/>
  <c r="K36" i="4"/>
  <c r="L42" i="4"/>
  <c r="K42" i="4"/>
  <c r="K37" i="4"/>
  <c r="K40" i="4"/>
  <c r="H36" i="4"/>
  <c r="H40" i="4"/>
  <c r="I42" i="4"/>
  <c r="H42" i="4"/>
  <c r="H37" i="4"/>
  <c r="H38" i="4"/>
  <c r="GD49" i="4" l="1"/>
  <c r="GC47" i="4"/>
  <c r="GC49" i="4"/>
  <c r="GE43" i="4"/>
  <c r="GC45" i="4"/>
  <c r="GC44" i="4"/>
  <c r="GC43" i="4"/>
  <c r="FB47" i="4"/>
  <c r="FC49" i="4"/>
  <c r="FD43" i="4"/>
  <c r="FB43" i="4"/>
  <c r="FB44" i="4"/>
  <c r="FB45" i="4"/>
  <c r="FB49" i="4"/>
  <c r="DF47" i="4"/>
  <c r="DF44" i="4"/>
  <c r="DF43" i="4"/>
  <c r="DF45" i="4"/>
  <c r="DG49" i="4"/>
  <c r="DF49" i="4"/>
  <c r="DH43" i="4"/>
  <c r="BJ47" i="4"/>
  <c r="BJ44" i="4"/>
  <c r="BK49" i="4"/>
  <c r="BL43" i="4"/>
  <c r="BJ45" i="4"/>
  <c r="BJ49" i="4"/>
  <c r="BJ43" i="4"/>
  <c r="AU38" i="4"/>
  <c r="AU37" i="4"/>
  <c r="AU36" i="4"/>
  <c r="AU40" i="4"/>
  <c r="AV42" i="4"/>
  <c r="AU42" i="4"/>
  <c r="AK43" i="4"/>
  <c r="A43" i="4"/>
  <c r="GF49" i="4" l="1"/>
  <c r="GF47" i="4"/>
  <c r="GH43" i="4"/>
  <c r="GF45" i="4"/>
  <c r="GF44" i="4"/>
  <c r="GF43" i="4"/>
  <c r="GG49" i="4"/>
  <c r="FF49" i="4"/>
  <c r="FE47" i="4"/>
  <c r="FE49" i="4"/>
  <c r="FG43" i="4"/>
  <c r="FE44" i="4"/>
  <c r="FE45" i="4"/>
  <c r="FE43" i="4"/>
  <c r="DI49" i="4"/>
  <c r="DK43" i="4"/>
  <c r="DJ49" i="4"/>
  <c r="DI45" i="4"/>
  <c r="DI44" i="4"/>
  <c r="DI47" i="4"/>
  <c r="DI43" i="4"/>
  <c r="BM49" i="4"/>
  <c r="BO43" i="4"/>
  <c r="BN49" i="4"/>
  <c r="BM45" i="4"/>
  <c r="BM43" i="4"/>
  <c r="BM47" i="4"/>
  <c r="BM44" i="4"/>
  <c r="AL43" i="4"/>
  <c r="AM49" i="4"/>
  <c r="AL47" i="4"/>
  <c r="AN43" i="4"/>
  <c r="AL49" i="4"/>
  <c r="AL45" i="4"/>
  <c r="AL44" i="4"/>
  <c r="B45" i="4"/>
  <c r="B43" i="4"/>
  <c r="C49" i="4"/>
  <c r="D43" i="4"/>
  <c r="B49" i="4"/>
  <c r="B47" i="4"/>
  <c r="B44" i="4"/>
  <c r="GI47" i="4" l="1"/>
  <c r="GI45" i="4"/>
  <c r="GI44" i="4"/>
  <c r="GI43" i="4"/>
  <c r="GJ49" i="4"/>
  <c r="GI49" i="4"/>
  <c r="GK1" i="4"/>
  <c r="FH49" i="4"/>
  <c r="FH47" i="4"/>
  <c r="FJ43" i="4"/>
  <c r="FH45" i="4"/>
  <c r="FH44" i="4"/>
  <c r="FH43" i="4"/>
  <c r="FI49" i="4"/>
  <c r="DL49" i="4"/>
  <c r="DL47" i="4"/>
  <c r="DN43" i="4"/>
  <c r="DM49" i="4"/>
  <c r="DL45" i="4"/>
  <c r="DL43" i="4"/>
  <c r="DL44" i="4"/>
  <c r="BP49" i="4"/>
  <c r="BP47" i="4"/>
  <c r="BR43" i="4"/>
  <c r="BQ49" i="4"/>
  <c r="BP45" i="4"/>
  <c r="BP43" i="4"/>
  <c r="BP44" i="4"/>
  <c r="AP49" i="4"/>
  <c r="AO49" i="4"/>
  <c r="AQ43" i="4"/>
  <c r="AO47" i="4"/>
  <c r="AO45" i="4"/>
  <c r="AO44" i="4"/>
  <c r="AO43" i="4"/>
  <c r="E47" i="4"/>
  <c r="F49" i="4"/>
  <c r="E49" i="4"/>
  <c r="E45" i="4"/>
  <c r="E44" i="4"/>
  <c r="G43" i="4"/>
  <c r="J43" i="4" s="1"/>
  <c r="M1" i="4" s="1"/>
  <c r="E43" i="4"/>
  <c r="GK49" i="4" l="1"/>
  <c r="GK42" i="4"/>
  <c r="GK35" i="4"/>
  <c r="GK28" i="4"/>
  <c r="GK45" i="4"/>
  <c r="GK44" i="4"/>
  <c r="GK38" i="4"/>
  <c r="GK37" i="4"/>
  <c r="GK31" i="4"/>
  <c r="GK30" i="4"/>
  <c r="GK24" i="4"/>
  <c r="GN1" i="4"/>
  <c r="GK46" i="4"/>
  <c r="GK4" i="4"/>
  <c r="GL3" i="4"/>
  <c r="GL2" i="4"/>
  <c r="GL1" i="4"/>
  <c r="GK23" i="4"/>
  <c r="GK21" i="4"/>
  <c r="GK14" i="4"/>
  <c r="GL5" i="4"/>
  <c r="GK3" i="4"/>
  <c r="GK2" i="4"/>
  <c r="GK25" i="4"/>
  <c r="GK32" i="4"/>
  <c r="GK18" i="4"/>
  <c r="GK11" i="4"/>
  <c r="GL7" i="4"/>
  <c r="GM7" i="4"/>
  <c r="GK10" i="4"/>
  <c r="GK9" i="4"/>
  <c r="GK39" i="4"/>
  <c r="GK17" i="4"/>
  <c r="GK16" i="4"/>
  <c r="FK47" i="4"/>
  <c r="FK45" i="4"/>
  <c r="FK44" i="4"/>
  <c r="FK43" i="4"/>
  <c r="FL49" i="4"/>
  <c r="FK49" i="4"/>
  <c r="FM1" i="4"/>
  <c r="DO47" i="4"/>
  <c r="DO45" i="4"/>
  <c r="DO44" i="4"/>
  <c r="DO43" i="4"/>
  <c r="DO49" i="4"/>
  <c r="DQ1" i="4"/>
  <c r="DP49" i="4"/>
  <c r="BS47" i="4"/>
  <c r="BS45" i="4"/>
  <c r="BS44" i="4"/>
  <c r="BS43" i="4"/>
  <c r="BT49" i="4"/>
  <c r="BU1" i="4"/>
  <c r="BS49" i="4"/>
  <c r="AR49" i="4"/>
  <c r="AT43" i="4"/>
  <c r="AR45" i="4"/>
  <c r="AR44" i="4"/>
  <c r="AR43" i="4"/>
  <c r="AR47" i="4"/>
  <c r="AS49" i="4"/>
  <c r="O7" i="4"/>
  <c r="M14" i="4"/>
  <c r="M10" i="4"/>
  <c r="M28" i="4"/>
  <c r="M11" i="4"/>
  <c r="M25" i="4"/>
  <c r="M42" i="4"/>
  <c r="M39" i="4"/>
  <c r="M24" i="4"/>
  <c r="M9" i="4"/>
  <c r="P1" i="4"/>
  <c r="M38" i="4"/>
  <c r="M23" i="4"/>
  <c r="M37" i="4"/>
  <c r="M18" i="4"/>
  <c r="M4" i="4"/>
  <c r="N5" i="4"/>
  <c r="M21" i="4"/>
  <c r="N7" i="4"/>
  <c r="M16" i="4"/>
  <c r="M32" i="4"/>
  <c r="M44" i="4"/>
  <c r="M49" i="4"/>
  <c r="N2" i="4"/>
  <c r="M45" i="4"/>
  <c r="M30" i="4"/>
  <c r="M46" i="4"/>
  <c r="M31" i="4"/>
  <c r="N1" i="4"/>
  <c r="M2" i="4"/>
  <c r="M17" i="4"/>
  <c r="M35" i="4"/>
  <c r="M3" i="4"/>
  <c r="N3" i="4"/>
  <c r="K44" i="4"/>
  <c r="L49" i="4"/>
  <c r="K49" i="4"/>
  <c r="K43" i="4"/>
  <c r="K47" i="4"/>
  <c r="K45" i="4"/>
  <c r="H49" i="4"/>
  <c r="H45" i="4"/>
  <c r="H43" i="4"/>
  <c r="H44" i="4"/>
  <c r="H47" i="4"/>
  <c r="I49" i="4"/>
  <c r="GN48" i="4" l="1"/>
  <c r="GN41" i="4"/>
  <c r="GN34" i="4"/>
  <c r="GN27" i="4"/>
  <c r="GN45" i="4"/>
  <c r="GN44" i="4"/>
  <c r="GN38" i="4"/>
  <c r="GN37" i="4"/>
  <c r="GN31" i="4"/>
  <c r="GN30" i="4"/>
  <c r="GN24" i="4"/>
  <c r="GN23" i="4"/>
  <c r="GN3" i="4"/>
  <c r="GN2" i="4"/>
  <c r="GO5" i="4"/>
  <c r="GP7" i="4"/>
  <c r="GN6" i="4"/>
  <c r="GN17" i="4"/>
  <c r="GN16" i="4"/>
  <c r="GN10" i="4"/>
  <c r="GN9" i="4"/>
  <c r="GO7" i="4"/>
  <c r="GN20" i="4"/>
  <c r="GQ1" i="4"/>
  <c r="GO3" i="4"/>
  <c r="GO2" i="4"/>
  <c r="GO1" i="4"/>
  <c r="GN13" i="4"/>
  <c r="GQ14" i="4"/>
  <c r="GT14" i="4" s="1"/>
  <c r="GN14" i="4"/>
  <c r="GN28" i="4"/>
  <c r="GQ28" i="4"/>
  <c r="GT28" i="4" s="1"/>
  <c r="GQ21" i="4"/>
  <c r="GT21" i="4" s="1"/>
  <c r="GN21" i="4"/>
  <c r="GN35" i="4"/>
  <c r="GQ35" i="4"/>
  <c r="GT35" i="4" s="1"/>
  <c r="GN42" i="4"/>
  <c r="GQ42" i="4"/>
  <c r="GT42" i="4" s="1"/>
  <c r="GN49" i="4"/>
  <c r="GQ49" i="4"/>
  <c r="GT49" i="4" s="1"/>
  <c r="FM49" i="4"/>
  <c r="FM42" i="4"/>
  <c r="FM35" i="4"/>
  <c r="FM28" i="4"/>
  <c r="FM25" i="4"/>
  <c r="FM24" i="4"/>
  <c r="FM32" i="4"/>
  <c r="FM31" i="4"/>
  <c r="FM21" i="4"/>
  <c r="FM14" i="4"/>
  <c r="FM45" i="4"/>
  <c r="FM44" i="4"/>
  <c r="FM38" i="4"/>
  <c r="FM37" i="4"/>
  <c r="FM18" i="4"/>
  <c r="FM11" i="4"/>
  <c r="FM17" i="4"/>
  <c r="FM30" i="4"/>
  <c r="FM9" i="4"/>
  <c r="FO7" i="4"/>
  <c r="FN3" i="4"/>
  <c r="FN1" i="4"/>
  <c r="FM23" i="4"/>
  <c r="FM16" i="4"/>
  <c r="FN7" i="4"/>
  <c r="FM10" i="4"/>
  <c r="FP1" i="4"/>
  <c r="FM4" i="4"/>
  <c r="FN2" i="4"/>
  <c r="FM46" i="4"/>
  <c r="FN5" i="4"/>
  <c r="FM3" i="4"/>
  <c r="FM2" i="4"/>
  <c r="FM39" i="4"/>
  <c r="DQ49" i="4"/>
  <c r="DQ42" i="4"/>
  <c r="DQ35" i="4"/>
  <c r="DQ46" i="4"/>
  <c r="DQ45" i="4"/>
  <c r="DQ32" i="4"/>
  <c r="DQ17" i="4"/>
  <c r="DQ16" i="4"/>
  <c r="DQ10" i="4"/>
  <c r="DQ9" i="4"/>
  <c r="DS7" i="4"/>
  <c r="DQ37" i="4"/>
  <c r="DQ23" i="4"/>
  <c r="DQ21" i="4"/>
  <c r="DR3" i="4"/>
  <c r="DR1" i="4"/>
  <c r="DQ31" i="4"/>
  <c r="DQ18" i="4"/>
  <c r="DQ3" i="4"/>
  <c r="DQ38" i="4"/>
  <c r="DQ39" i="4"/>
  <c r="DQ30" i="4"/>
  <c r="DQ14" i="4"/>
  <c r="DR7" i="4"/>
  <c r="DQ28" i="4"/>
  <c r="DQ25" i="4"/>
  <c r="DQ24" i="4"/>
  <c r="DR5" i="4"/>
  <c r="DR2" i="4"/>
  <c r="DQ44" i="4"/>
  <c r="DQ2" i="4"/>
  <c r="DQ4" i="4"/>
  <c r="DT1" i="4"/>
  <c r="DQ11" i="4"/>
  <c r="BU49" i="4"/>
  <c r="BU42" i="4"/>
  <c r="BU46" i="4"/>
  <c r="BU45" i="4"/>
  <c r="BU31" i="4"/>
  <c r="BU30" i="4"/>
  <c r="BU28" i="4"/>
  <c r="BU17" i="4"/>
  <c r="BU16" i="4"/>
  <c r="BU35" i="4"/>
  <c r="BU24" i="4"/>
  <c r="BU23" i="4"/>
  <c r="BU32" i="4"/>
  <c r="BU25" i="4"/>
  <c r="BU21" i="4"/>
  <c r="BU18" i="4"/>
  <c r="BU4" i="4"/>
  <c r="BV3" i="4"/>
  <c r="BU14" i="4"/>
  <c r="BU38" i="4"/>
  <c r="BV5" i="4"/>
  <c r="BV2" i="4"/>
  <c r="BV1" i="4"/>
  <c r="BU44" i="4"/>
  <c r="BX1" i="4"/>
  <c r="BU2" i="4"/>
  <c r="BU39" i="4"/>
  <c r="BU37" i="4"/>
  <c r="BU9" i="4"/>
  <c r="BU11" i="4"/>
  <c r="BU10" i="4"/>
  <c r="BU3" i="4"/>
  <c r="BV7" i="4"/>
  <c r="BW7" i="4"/>
  <c r="AU45" i="4"/>
  <c r="AU44" i="4"/>
  <c r="AU43" i="4"/>
  <c r="AW1" i="4"/>
  <c r="AU47" i="4"/>
  <c r="AV49" i="4"/>
  <c r="AU49" i="4"/>
  <c r="P35" i="4"/>
  <c r="S35" i="4"/>
  <c r="V35" i="4" s="1"/>
  <c r="S28" i="4"/>
  <c r="V28" i="4" s="1"/>
  <c r="P28" i="4"/>
  <c r="S49" i="4"/>
  <c r="V49" i="4" s="1"/>
  <c r="P49" i="4"/>
  <c r="S14" i="4"/>
  <c r="V14" i="4" s="1"/>
  <c r="P14" i="4"/>
  <c r="S42" i="4"/>
  <c r="V42" i="4" s="1"/>
  <c r="P42" i="4"/>
  <c r="Q5" i="4"/>
  <c r="P48" i="4"/>
  <c r="Q3" i="4"/>
  <c r="Q2" i="4"/>
  <c r="S1" i="4"/>
  <c r="P20" i="4"/>
  <c r="Q1" i="4"/>
  <c r="R7" i="4"/>
  <c r="P34" i="4"/>
  <c r="Q7" i="4"/>
  <c r="P24" i="4"/>
  <c r="P44" i="4"/>
  <c r="P45" i="4"/>
  <c r="P31" i="4"/>
  <c r="P37" i="4"/>
  <c r="P13" i="4"/>
  <c r="P16" i="4"/>
  <c r="P41" i="4"/>
  <c r="P10" i="4"/>
  <c r="P30" i="4"/>
  <c r="P6" i="4"/>
  <c r="P38" i="4"/>
  <c r="P27" i="4"/>
  <c r="P17" i="4"/>
  <c r="P2" i="4"/>
  <c r="P9" i="4"/>
  <c r="P3" i="4"/>
  <c r="P23" i="4"/>
  <c r="P21" i="4"/>
  <c r="S21" i="4"/>
  <c r="V21" i="4" s="1"/>
  <c r="GQ45" i="4" l="1"/>
  <c r="GQ44" i="4"/>
  <c r="GQ38" i="4"/>
  <c r="GQ37" i="4"/>
  <c r="GQ31" i="4"/>
  <c r="GQ30" i="4"/>
  <c r="GQ24" i="4"/>
  <c r="GQ23" i="4"/>
  <c r="GQ48" i="4"/>
  <c r="GQ41" i="4"/>
  <c r="GQ34" i="4"/>
  <c r="GQ27" i="4"/>
  <c r="GS7" i="4"/>
  <c r="GR5" i="4"/>
  <c r="GR7" i="4"/>
  <c r="GQ17" i="4"/>
  <c r="GQ16" i="4"/>
  <c r="GQ10" i="4"/>
  <c r="GQ9" i="4"/>
  <c r="GQ6" i="4"/>
  <c r="GT1" i="4"/>
  <c r="GR3" i="4"/>
  <c r="GR2" i="4"/>
  <c r="GR1" i="4"/>
  <c r="GQ20" i="4"/>
  <c r="GQ3" i="4"/>
  <c r="GQ2" i="4"/>
  <c r="GQ13" i="4"/>
  <c r="FP28" i="4"/>
  <c r="FS28" i="4"/>
  <c r="FV28" i="4" s="1"/>
  <c r="FP48" i="4"/>
  <c r="FP41" i="4"/>
  <c r="FP34" i="4"/>
  <c r="FP27" i="4"/>
  <c r="FP31" i="4"/>
  <c r="FP45" i="4"/>
  <c r="FP44" i="4"/>
  <c r="FP38" i="4"/>
  <c r="FP37" i="4"/>
  <c r="FP23" i="4"/>
  <c r="FP30" i="4"/>
  <c r="FR7" i="4"/>
  <c r="FP16" i="4"/>
  <c r="FP10" i="4"/>
  <c r="FS1" i="4"/>
  <c r="FP24" i="4"/>
  <c r="FQ3" i="4"/>
  <c r="FQ2" i="4"/>
  <c r="FQ1" i="4"/>
  <c r="FP6" i="4"/>
  <c r="FP3" i="4"/>
  <c r="FP2" i="4"/>
  <c r="FQ5" i="4"/>
  <c r="FP20" i="4"/>
  <c r="FP17" i="4"/>
  <c r="FP9" i="4"/>
  <c r="FP13" i="4"/>
  <c r="FQ7" i="4"/>
  <c r="FP35" i="4"/>
  <c r="FS35" i="4"/>
  <c r="FV35" i="4" s="1"/>
  <c r="FS14" i="4"/>
  <c r="FV14" i="4" s="1"/>
  <c r="FP14" i="4"/>
  <c r="FP42" i="4"/>
  <c r="FS42" i="4"/>
  <c r="FV42" i="4" s="1"/>
  <c r="FS21" i="4"/>
  <c r="FV21" i="4" s="1"/>
  <c r="FP21" i="4"/>
  <c r="FP49" i="4"/>
  <c r="FS49" i="4"/>
  <c r="FV49" i="4" s="1"/>
  <c r="DW14" i="4"/>
  <c r="DZ14" i="4" s="1"/>
  <c r="DT14" i="4"/>
  <c r="DT21" i="4"/>
  <c r="DW21" i="4"/>
  <c r="DZ21" i="4" s="1"/>
  <c r="DT35" i="4"/>
  <c r="DW35" i="4"/>
  <c r="DZ35" i="4" s="1"/>
  <c r="DT42" i="4"/>
  <c r="DW42" i="4"/>
  <c r="DZ42" i="4" s="1"/>
  <c r="DT48" i="4"/>
  <c r="DT41" i="4"/>
  <c r="DT34" i="4"/>
  <c r="DT27" i="4"/>
  <c r="DT37" i="4"/>
  <c r="DT23" i="4"/>
  <c r="DW1" i="4"/>
  <c r="DT31" i="4"/>
  <c r="DT30" i="4"/>
  <c r="DT20" i="4"/>
  <c r="DT38" i="4"/>
  <c r="DT6" i="4"/>
  <c r="DT13" i="4"/>
  <c r="DT10" i="4"/>
  <c r="DT17" i="4"/>
  <c r="DU2" i="4"/>
  <c r="DT16" i="4"/>
  <c r="DT24" i="4"/>
  <c r="DU3" i="4"/>
  <c r="DT44" i="4"/>
  <c r="DU5" i="4"/>
  <c r="DU1" i="4"/>
  <c r="DT3" i="4"/>
  <c r="DT45" i="4"/>
  <c r="DT9" i="4"/>
  <c r="DV7" i="4"/>
  <c r="DU7" i="4"/>
  <c r="DT2" i="4"/>
  <c r="DT28" i="4"/>
  <c r="DW28" i="4"/>
  <c r="DZ28" i="4" s="1"/>
  <c r="DT49" i="4"/>
  <c r="DW49" i="4"/>
  <c r="DZ49" i="4" s="1"/>
  <c r="BX48" i="4"/>
  <c r="BX41" i="4"/>
  <c r="BX34" i="4"/>
  <c r="BX27" i="4"/>
  <c r="BX37" i="4"/>
  <c r="BX44" i="4"/>
  <c r="BX24" i="4"/>
  <c r="BX23" i="4"/>
  <c r="BX31" i="4"/>
  <c r="BX20" i="4"/>
  <c r="BY5" i="4"/>
  <c r="BX38" i="4"/>
  <c r="BX17" i="4"/>
  <c r="BX16" i="4"/>
  <c r="BX10" i="4"/>
  <c r="BX9" i="4"/>
  <c r="BY1" i="4"/>
  <c r="BX2" i="4"/>
  <c r="BX45" i="4"/>
  <c r="BZ7" i="4"/>
  <c r="BY3" i="4"/>
  <c r="BY7" i="4"/>
  <c r="BX3" i="4"/>
  <c r="BX30" i="4"/>
  <c r="BX13" i="4"/>
  <c r="BX6" i="4"/>
  <c r="CA1" i="4"/>
  <c r="BY2" i="4"/>
  <c r="CA21" i="4"/>
  <c r="CD21" i="4" s="1"/>
  <c r="BX21" i="4"/>
  <c r="BX28" i="4"/>
  <c r="CA28" i="4"/>
  <c r="CD28" i="4" s="1"/>
  <c r="BX49" i="4"/>
  <c r="CA49" i="4"/>
  <c r="CD49" i="4" s="1"/>
  <c r="BX14" i="4"/>
  <c r="CA14" i="4"/>
  <c r="CD14" i="4" s="1"/>
  <c r="BX35" i="4"/>
  <c r="CA35" i="4"/>
  <c r="CD35" i="4" s="1"/>
  <c r="BX42" i="4"/>
  <c r="CA42" i="4"/>
  <c r="CD42" i="4" s="1"/>
  <c r="AY7" i="4"/>
  <c r="AW4" i="4"/>
  <c r="AX7" i="4"/>
  <c r="AW49" i="4"/>
  <c r="AW42" i="4"/>
  <c r="AW35" i="4"/>
  <c r="AW28" i="4"/>
  <c r="AW21" i="4"/>
  <c r="AW14" i="4"/>
  <c r="AZ1" i="4"/>
  <c r="AX2" i="4"/>
  <c r="AW2" i="4"/>
  <c r="AX3" i="4"/>
  <c r="AX1" i="4"/>
  <c r="AW3" i="4"/>
  <c r="AW46" i="4"/>
  <c r="AW39" i="4"/>
  <c r="AW32" i="4"/>
  <c r="AW25" i="4"/>
  <c r="AW18" i="4"/>
  <c r="AW11" i="4"/>
  <c r="AW37" i="4"/>
  <c r="AW23" i="4"/>
  <c r="AW17" i="4"/>
  <c r="AW16" i="4"/>
  <c r="AW45" i="4"/>
  <c r="AW44" i="4"/>
  <c r="AW38" i="4"/>
  <c r="AW31" i="4"/>
  <c r="AW30" i="4"/>
  <c r="AW24" i="4"/>
  <c r="AW10" i="4"/>
  <c r="AW9" i="4"/>
  <c r="AX5" i="4"/>
  <c r="S3" i="4"/>
  <c r="S16" i="4"/>
  <c r="S45" i="4"/>
  <c r="S30" i="4"/>
  <c r="T5" i="4"/>
  <c r="S44" i="4"/>
  <c r="S17" i="4"/>
  <c r="S31" i="4"/>
  <c r="T1" i="4"/>
  <c r="S37" i="4"/>
  <c r="T2" i="4"/>
  <c r="S34" i="4"/>
  <c r="S38" i="4"/>
  <c r="S13" i="4"/>
  <c r="S10" i="4"/>
  <c r="S20" i="4"/>
  <c r="S6" i="4"/>
  <c r="T3" i="4"/>
  <c r="S23" i="4"/>
  <c r="S2" i="4"/>
  <c r="U7" i="4"/>
  <c r="S24" i="4"/>
  <c r="S48" i="4"/>
  <c r="S9" i="4"/>
  <c r="S27" i="4"/>
  <c r="V1" i="4"/>
  <c r="T7" i="4"/>
  <c r="S41" i="4"/>
  <c r="GT45" i="4" l="1"/>
  <c r="GT44" i="4"/>
  <c r="GT38" i="4"/>
  <c r="GT37" i="4"/>
  <c r="GT31" i="4"/>
  <c r="GT30" i="4"/>
  <c r="GT24" i="4"/>
  <c r="GT27" i="4"/>
  <c r="GT17" i="4"/>
  <c r="GT16" i="4"/>
  <c r="GT10" i="4"/>
  <c r="GT9" i="4"/>
  <c r="GT23" i="4"/>
  <c r="GT6" i="4"/>
  <c r="GT34" i="4"/>
  <c r="GU3" i="4"/>
  <c r="GU2" i="4"/>
  <c r="GU1" i="4"/>
  <c r="GT48" i="4"/>
  <c r="GT41" i="4"/>
  <c r="GT3" i="4"/>
  <c r="GT2" i="4"/>
  <c r="GT20" i="4"/>
  <c r="GT13" i="4"/>
  <c r="GV7" i="4"/>
  <c r="GK8" i="4"/>
  <c r="GU7" i="4"/>
  <c r="GU5" i="4"/>
  <c r="FS45" i="4"/>
  <c r="FS44" i="4"/>
  <c r="FS38" i="4"/>
  <c r="FS37" i="4"/>
  <c r="FS31" i="4"/>
  <c r="FS30" i="4"/>
  <c r="FS24" i="4"/>
  <c r="FS23" i="4"/>
  <c r="FS27" i="4"/>
  <c r="FS17" i="4"/>
  <c r="FS16" i="4"/>
  <c r="FS48" i="4"/>
  <c r="FS41" i="4"/>
  <c r="FT3" i="4"/>
  <c r="FT2" i="4"/>
  <c r="FT1" i="4"/>
  <c r="FT7" i="4"/>
  <c r="FS3" i="4"/>
  <c r="FS2" i="4"/>
  <c r="FS20" i="4"/>
  <c r="FU7" i="4"/>
  <c r="FT5" i="4"/>
  <c r="FS13" i="4"/>
  <c r="FS9" i="4"/>
  <c r="FS6" i="4"/>
  <c r="FS34" i="4"/>
  <c r="FS10" i="4"/>
  <c r="FV1" i="4"/>
  <c r="DW45" i="4"/>
  <c r="DW44" i="4"/>
  <c r="DW38" i="4"/>
  <c r="DW37" i="4"/>
  <c r="DW41" i="4"/>
  <c r="DW20" i="4"/>
  <c r="DW13" i="4"/>
  <c r="DW3" i="4"/>
  <c r="DW2" i="4"/>
  <c r="DW48" i="4"/>
  <c r="DW17" i="4"/>
  <c r="DW16" i="4"/>
  <c r="DY7" i="4"/>
  <c r="DW30" i="4"/>
  <c r="DW27" i="4"/>
  <c r="DW24" i="4"/>
  <c r="DX7" i="4"/>
  <c r="DX2" i="4"/>
  <c r="DX5" i="4"/>
  <c r="DW6" i="4"/>
  <c r="DW31" i="4"/>
  <c r="DZ1" i="4"/>
  <c r="DX3" i="4"/>
  <c r="DX1" i="4"/>
  <c r="DW9" i="4"/>
  <c r="DW23" i="4"/>
  <c r="DW10" i="4"/>
  <c r="DW34" i="4"/>
  <c r="CA45" i="4"/>
  <c r="CA44" i="4"/>
  <c r="CA38" i="4"/>
  <c r="CA37" i="4"/>
  <c r="CA41" i="4"/>
  <c r="CA27" i="4"/>
  <c r="CA24" i="4"/>
  <c r="CA23" i="4"/>
  <c r="CA20" i="4"/>
  <c r="CA48" i="4"/>
  <c r="CA34" i="4"/>
  <c r="CA31" i="4"/>
  <c r="CA30" i="4"/>
  <c r="CA17" i="4"/>
  <c r="CA16" i="4"/>
  <c r="CC7" i="4"/>
  <c r="CB5" i="4"/>
  <c r="CB7" i="4"/>
  <c r="CA10" i="4"/>
  <c r="CA9" i="4"/>
  <c r="CB3" i="4"/>
  <c r="CA2" i="4"/>
  <c r="CA3" i="4"/>
  <c r="CA6" i="4"/>
  <c r="CA13" i="4"/>
  <c r="CB1" i="4"/>
  <c r="CD1" i="4"/>
  <c r="CB2" i="4"/>
  <c r="AZ35" i="4"/>
  <c r="BC35" i="4"/>
  <c r="BF35" i="4" s="1"/>
  <c r="AZ42" i="4"/>
  <c r="BC42" i="4"/>
  <c r="BF42" i="4" s="1"/>
  <c r="AZ49" i="4"/>
  <c r="BC49" i="4"/>
  <c r="BF49" i="4" s="1"/>
  <c r="AZ21" i="4"/>
  <c r="BC21" i="4"/>
  <c r="BF21" i="4" s="1"/>
  <c r="AZ28" i="4"/>
  <c r="BC28" i="4"/>
  <c r="BF28" i="4" s="1"/>
  <c r="BC1" i="4"/>
  <c r="AZ48" i="4"/>
  <c r="AZ41" i="4"/>
  <c r="AZ34" i="4"/>
  <c r="AZ27" i="4"/>
  <c r="AZ20" i="4"/>
  <c r="AZ13" i="4"/>
  <c r="BA3" i="4"/>
  <c r="BA2" i="4"/>
  <c r="BA1" i="4"/>
  <c r="AZ3" i="4"/>
  <c r="AZ2" i="4"/>
  <c r="AZ45" i="4"/>
  <c r="AZ44" i="4"/>
  <c r="AZ38" i="4"/>
  <c r="AZ37" i="4"/>
  <c r="AZ31" i="4"/>
  <c r="AZ30" i="4"/>
  <c r="AZ24" i="4"/>
  <c r="AZ23" i="4"/>
  <c r="AZ17" i="4"/>
  <c r="AZ16" i="4"/>
  <c r="AZ10" i="4"/>
  <c r="AZ9" i="4"/>
  <c r="BB7" i="4"/>
  <c r="BA5" i="4"/>
  <c r="BA7" i="4"/>
  <c r="AZ6" i="4"/>
  <c r="AZ14" i="4"/>
  <c r="BC14" i="4"/>
  <c r="BF14" i="4" s="1"/>
  <c r="W5" i="4"/>
  <c r="W7" i="4"/>
  <c r="V3" i="4"/>
  <c r="V37" i="4"/>
  <c r="W2" i="4"/>
  <c r="V44" i="4"/>
  <c r="V41" i="4"/>
  <c r="W1" i="4"/>
  <c r="V31" i="4"/>
  <c r="M8" i="4"/>
  <c r="V6" i="4"/>
  <c r="V2" i="4"/>
  <c r="V24" i="4"/>
  <c r="V23" i="4"/>
  <c r="V48" i="4"/>
  <c r="V30" i="4"/>
  <c r="V13" i="4"/>
  <c r="V34" i="4"/>
  <c r="V17" i="4"/>
  <c r="V38" i="4"/>
  <c r="W3" i="4"/>
  <c r="V45" i="4"/>
  <c r="V10" i="4"/>
  <c r="X7" i="4"/>
  <c r="V16" i="4"/>
  <c r="V27" i="4"/>
  <c r="V9" i="4"/>
  <c r="V20" i="4"/>
  <c r="GM14" i="4" l="1"/>
  <c r="GL14" i="4"/>
  <c r="GN8" i="4"/>
  <c r="GL10" i="4"/>
  <c r="GL9" i="4"/>
  <c r="GL8" i="4"/>
  <c r="GL12" i="4"/>
  <c r="FV45" i="4"/>
  <c r="FV44" i="4"/>
  <c r="FV38" i="4"/>
  <c r="FV37" i="4"/>
  <c r="FV31" i="4"/>
  <c r="FV30" i="4"/>
  <c r="FV24" i="4"/>
  <c r="FV23" i="4"/>
  <c r="FV17" i="4"/>
  <c r="FV16" i="4"/>
  <c r="FV10" i="4"/>
  <c r="FV27" i="4"/>
  <c r="FV48" i="4"/>
  <c r="FV41" i="4"/>
  <c r="FV34" i="4"/>
  <c r="FV20" i="4"/>
  <c r="FV13" i="4"/>
  <c r="FX7" i="4"/>
  <c r="FV6" i="4"/>
  <c r="FM8" i="4"/>
  <c r="FW7" i="4"/>
  <c r="FW3" i="4"/>
  <c r="FW5" i="4"/>
  <c r="FV9" i="4"/>
  <c r="FW2" i="4"/>
  <c r="FW1" i="4"/>
  <c r="FV2" i="4"/>
  <c r="FV3" i="4"/>
  <c r="DZ45" i="4"/>
  <c r="DZ44" i="4"/>
  <c r="DZ38" i="4"/>
  <c r="DZ37" i="4"/>
  <c r="DZ31" i="4"/>
  <c r="DZ30" i="4"/>
  <c r="DZ24" i="4"/>
  <c r="DQ8" i="4"/>
  <c r="EA7" i="4"/>
  <c r="DZ48" i="4"/>
  <c r="DZ27" i="4"/>
  <c r="DZ13" i="4"/>
  <c r="DZ2" i="4"/>
  <c r="DZ9" i="4"/>
  <c r="EA5" i="4"/>
  <c r="DZ41" i="4"/>
  <c r="DZ17" i="4"/>
  <c r="DZ10" i="4"/>
  <c r="EA3" i="4"/>
  <c r="DZ3" i="4"/>
  <c r="EA2" i="4"/>
  <c r="EA1" i="4"/>
  <c r="DZ34" i="4"/>
  <c r="DZ23" i="4"/>
  <c r="DZ20" i="4"/>
  <c r="EB7" i="4"/>
  <c r="DZ6" i="4"/>
  <c r="DZ16" i="4"/>
  <c r="CD45" i="4"/>
  <c r="CD44" i="4"/>
  <c r="CD38" i="4"/>
  <c r="CD37" i="4"/>
  <c r="CD31" i="4"/>
  <c r="CD30" i="4"/>
  <c r="CD24" i="4"/>
  <c r="CD23" i="4"/>
  <c r="CD48" i="4"/>
  <c r="CD17" i="4"/>
  <c r="CD16" i="4"/>
  <c r="CD20" i="4"/>
  <c r="CD10" i="4"/>
  <c r="CD9" i="4"/>
  <c r="CD6" i="4"/>
  <c r="CF7" i="4"/>
  <c r="CE3" i="4"/>
  <c r="CE5" i="4"/>
  <c r="CD41" i="4"/>
  <c r="CE7" i="4"/>
  <c r="CD3" i="4"/>
  <c r="CD27" i="4"/>
  <c r="BU8" i="4"/>
  <c r="CE2" i="4"/>
  <c r="CE1" i="4"/>
  <c r="CD13" i="4"/>
  <c r="CD2" i="4"/>
  <c r="CD34" i="4"/>
  <c r="BC48" i="4"/>
  <c r="BC41" i="4"/>
  <c r="BC34" i="4"/>
  <c r="BC27" i="4"/>
  <c r="BC20" i="4"/>
  <c r="BC13" i="4"/>
  <c r="BC3" i="4"/>
  <c r="BC2" i="4"/>
  <c r="BC45" i="4"/>
  <c r="BC44" i="4"/>
  <c r="BC38" i="4"/>
  <c r="BC37" i="4"/>
  <c r="BC31" i="4"/>
  <c r="BC30" i="4"/>
  <c r="BC24" i="4"/>
  <c r="BC23" i="4"/>
  <c r="BC17" i="4"/>
  <c r="BC16" i="4"/>
  <c r="BC10" i="4"/>
  <c r="BC9" i="4"/>
  <c r="BE7" i="4"/>
  <c r="BD5" i="4"/>
  <c r="BD7" i="4"/>
  <c r="BC6" i="4"/>
  <c r="BF1" i="4"/>
  <c r="BD3" i="4"/>
  <c r="BD2" i="4"/>
  <c r="BD1" i="4"/>
  <c r="N14" i="4"/>
  <c r="N10" i="4"/>
  <c r="N12" i="4"/>
  <c r="N9" i="4"/>
  <c r="N8" i="4"/>
  <c r="O14" i="4"/>
  <c r="P8" i="4"/>
  <c r="GQ8" i="4" l="1"/>
  <c r="GO10" i="4"/>
  <c r="GO9" i="4"/>
  <c r="GO8" i="4"/>
  <c r="GP14" i="4"/>
  <c r="GO12" i="4"/>
  <c r="GO14" i="4"/>
  <c r="FO14" i="4"/>
  <c r="FN14" i="4"/>
  <c r="FN9" i="4"/>
  <c r="FN8" i="4"/>
  <c r="FN10" i="4"/>
  <c r="FN12" i="4"/>
  <c r="FP8" i="4"/>
  <c r="DR12" i="4"/>
  <c r="DT8" i="4"/>
  <c r="DR10" i="4"/>
  <c r="DR8" i="4"/>
  <c r="DS14" i="4"/>
  <c r="DR14" i="4"/>
  <c r="DR9" i="4"/>
  <c r="BW14" i="4"/>
  <c r="BV14" i="4"/>
  <c r="BX8" i="4"/>
  <c r="BV12" i="4"/>
  <c r="BV10" i="4"/>
  <c r="BV8" i="4"/>
  <c r="BV9" i="4"/>
  <c r="BF48" i="4"/>
  <c r="BF41" i="4"/>
  <c r="BF34" i="4"/>
  <c r="BF27" i="4"/>
  <c r="BF20" i="4"/>
  <c r="BF13" i="4"/>
  <c r="BF45" i="4"/>
  <c r="BF44" i="4"/>
  <c r="BF38" i="4"/>
  <c r="BF37" i="4"/>
  <c r="BF31" i="4"/>
  <c r="BF30" i="4"/>
  <c r="BF24" i="4"/>
  <c r="BF23" i="4"/>
  <c r="BF17" i="4"/>
  <c r="BF16" i="4"/>
  <c r="BF10" i="4"/>
  <c r="BF9" i="4"/>
  <c r="BG7" i="4"/>
  <c r="BG5" i="4"/>
  <c r="BF6" i="4"/>
  <c r="BG3" i="4"/>
  <c r="BG2" i="4"/>
  <c r="BG1" i="4"/>
  <c r="AW8" i="4"/>
  <c r="BF3" i="4"/>
  <c r="BF2" i="4"/>
  <c r="BH7" i="4"/>
  <c r="R14" i="4"/>
  <c r="Q12" i="4"/>
  <c r="Q14" i="4"/>
  <c r="S8" i="4"/>
  <c r="Q10" i="4"/>
  <c r="Q9" i="4"/>
  <c r="Q8" i="4"/>
  <c r="GT8" i="4" l="1"/>
  <c r="GR10" i="4"/>
  <c r="GR9" i="4"/>
  <c r="GR8" i="4"/>
  <c r="GS14" i="4"/>
  <c r="GR14" i="4"/>
  <c r="GR12" i="4"/>
  <c r="FR14" i="4"/>
  <c r="FQ12" i="4"/>
  <c r="FQ10" i="4"/>
  <c r="FQ8" i="4"/>
  <c r="FQ9" i="4"/>
  <c r="FQ14" i="4"/>
  <c r="FS8" i="4"/>
  <c r="DU14" i="4"/>
  <c r="DU10" i="4"/>
  <c r="DU8" i="4"/>
  <c r="DV14" i="4"/>
  <c r="DU9" i="4"/>
  <c r="DU12" i="4"/>
  <c r="DW8" i="4"/>
  <c r="CA8" i="4"/>
  <c r="BZ14" i="4"/>
  <c r="BY12" i="4"/>
  <c r="BY9" i="4"/>
  <c r="BY14" i="4"/>
  <c r="BY10" i="4"/>
  <c r="BY8" i="4"/>
  <c r="AY14" i="4"/>
  <c r="AX12" i="4"/>
  <c r="AX14" i="4"/>
  <c r="AZ8" i="4"/>
  <c r="AX10" i="4"/>
  <c r="AX9" i="4"/>
  <c r="AX8" i="4"/>
  <c r="T14" i="4"/>
  <c r="T9" i="4"/>
  <c r="T8" i="4"/>
  <c r="V8" i="4"/>
  <c r="T10" i="4"/>
  <c r="U14" i="4"/>
  <c r="T12" i="4"/>
  <c r="GU14" i="4" l="1"/>
  <c r="GU12" i="4"/>
  <c r="GU10" i="4"/>
  <c r="GU9" i="4"/>
  <c r="GU8" i="4"/>
  <c r="GK15" i="4"/>
  <c r="GV14" i="4"/>
  <c r="FT10" i="4"/>
  <c r="FU14" i="4"/>
  <c r="FT14" i="4"/>
  <c r="FT9" i="4"/>
  <c r="FT8" i="4"/>
  <c r="FT12" i="4"/>
  <c r="FV8" i="4"/>
  <c r="DY14" i="4"/>
  <c r="DX14" i="4"/>
  <c r="DX9" i="4"/>
  <c r="DX10" i="4"/>
  <c r="DX12" i="4"/>
  <c r="DZ8" i="4"/>
  <c r="DX8" i="4"/>
  <c r="CD8" i="4"/>
  <c r="CB10" i="4"/>
  <c r="CB9" i="4"/>
  <c r="CB8" i="4"/>
  <c r="CC14" i="4"/>
  <c r="CB12" i="4"/>
  <c r="CB14" i="4"/>
  <c r="BA12" i="4"/>
  <c r="BC8" i="4"/>
  <c r="BA10" i="4"/>
  <c r="BA9" i="4"/>
  <c r="BA8" i="4"/>
  <c r="BB14" i="4"/>
  <c r="BA14" i="4"/>
  <c r="W10" i="4"/>
  <c r="W9" i="4"/>
  <c r="W14" i="4"/>
  <c r="W12" i="4"/>
  <c r="W8" i="4"/>
  <c r="M15" i="4"/>
  <c r="X14" i="4"/>
  <c r="GM21" i="4" l="1"/>
  <c r="GL21" i="4"/>
  <c r="GN15" i="4"/>
  <c r="GL17" i="4"/>
  <c r="GL16" i="4"/>
  <c r="GL15" i="4"/>
  <c r="GL19" i="4"/>
  <c r="FW14" i="4"/>
  <c r="FW12" i="4"/>
  <c r="FW9" i="4"/>
  <c r="FW8" i="4"/>
  <c r="FX14" i="4"/>
  <c r="FW10" i="4"/>
  <c r="FM15" i="4"/>
  <c r="DQ15" i="4"/>
  <c r="EA9" i="4"/>
  <c r="EA10" i="4"/>
  <c r="EB14" i="4"/>
  <c r="EA12" i="4"/>
  <c r="EA14" i="4"/>
  <c r="EA8" i="4"/>
  <c r="BU15" i="4"/>
  <c r="CE14" i="4"/>
  <c r="CF14" i="4"/>
  <c r="CE10" i="4"/>
  <c r="CE9" i="4"/>
  <c r="CE8" i="4"/>
  <c r="CE12" i="4"/>
  <c r="BF8" i="4"/>
  <c r="BD10" i="4"/>
  <c r="BD9" i="4"/>
  <c r="BD8" i="4"/>
  <c r="BE14" i="4"/>
  <c r="BD14" i="4"/>
  <c r="BD12" i="4"/>
  <c r="P15" i="4"/>
  <c r="N21" i="4"/>
  <c r="N19" i="4"/>
  <c r="N17" i="4"/>
  <c r="N16" i="4"/>
  <c r="N15" i="4"/>
  <c r="O21" i="4"/>
  <c r="GQ15" i="4" l="1"/>
  <c r="GO21" i="4"/>
  <c r="GO17" i="4"/>
  <c r="GO16" i="4"/>
  <c r="GO15" i="4"/>
  <c r="GP21" i="4"/>
  <c r="GO19" i="4"/>
  <c r="FO21" i="4"/>
  <c r="FN21" i="4"/>
  <c r="FN17" i="4"/>
  <c r="FN16" i="4"/>
  <c r="FN15" i="4"/>
  <c r="FN19" i="4"/>
  <c r="FP15" i="4"/>
  <c r="DR19" i="4"/>
  <c r="DT15" i="4"/>
  <c r="DR15" i="4"/>
  <c r="DR16" i="4"/>
  <c r="DS21" i="4"/>
  <c r="DR17" i="4"/>
  <c r="DR21" i="4"/>
  <c r="BV19" i="4"/>
  <c r="BW21" i="4"/>
  <c r="BV21" i="4"/>
  <c r="BX15" i="4"/>
  <c r="BV17" i="4"/>
  <c r="BV15" i="4"/>
  <c r="BV16" i="4"/>
  <c r="BH14" i="4"/>
  <c r="BG10" i="4"/>
  <c r="BG9" i="4"/>
  <c r="BG8" i="4"/>
  <c r="BG14" i="4"/>
  <c r="BG12" i="4"/>
  <c r="AW15" i="4"/>
  <c r="Q16" i="4"/>
  <c r="Q15" i="4"/>
  <c r="Q19" i="4"/>
  <c r="R21" i="4"/>
  <c r="Q21" i="4"/>
  <c r="S15" i="4"/>
  <c r="Q17" i="4"/>
  <c r="GT15" i="4" l="1"/>
  <c r="GR17" i="4"/>
  <c r="GR16" i="4"/>
  <c r="GR15" i="4"/>
  <c r="GS21" i="4"/>
  <c r="GR21" i="4"/>
  <c r="GR19" i="4"/>
  <c r="FS15" i="4"/>
  <c r="FQ17" i="4"/>
  <c r="FQ16" i="4"/>
  <c r="FQ15" i="4"/>
  <c r="FR21" i="4"/>
  <c r="FQ19" i="4"/>
  <c r="FQ21" i="4"/>
  <c r="DU21" i="4"/>
  <c r="DW15" i="4"/>
  <c r="DU17" i="4"/>
  <c r="DU16" i="4"/>
  <c r="DU15" i="4"/>
  <c r="DV21" i="4"/>
  <c r="DU19" i="4"/>
  <c r="BY21" i="4"/>
  <c r="CA15" i="4"/>
  <c r="BY17" i="4"/>
  <c r="BY16" i="4"/>
  <c r="BY15" i="4"/>
  <c r="BY19" i="4"/>
  <c r="BZ21" i="4"/>
  <c r="AY21" i="4"/>
  <c r="AX19" i="4"/>
  <c r="AX21" i="4"/>
  <c r="AZ15" i="4"/>
  <c r="AX17" i="4"/>
  <c r="AX16" i="4"/>
  <c r="AX15" i="4"/>
  <c r="T19" i="4"/>
  <c r="T17" i="4"/>
  <c r="U21" i="4"/>
  <c r="V15" i="4"/>
  <c r="T15" i="4"/>
  <c r="T16" i="4"/>
  <c r="T21" i="4"/>
  <c r="GU21" i="4" l="1"/>
  <c r="GK22" i="4"/>
  <c r="GU19" i="4"/>
  <c r="GU16" i="4"/>
  <c r="GV21" i="4"/>
  <c r="GU17" i="4"/>
  <c r="GU15" i="4"/>
  <c r="FV15" i="4"/>
  <c r="FT17" i="4"/>
  <c r="FT16" i="4"/>
  <c r="FT15" i="4"/>
  <c r="FU21" i="4"/>
  <c r="FT21" i="4"/>
  <c r="FT19" i="4"/>
  <c r="DY21" i="4"/>
  <c r="DX19" i="4"/>
  <c r="DX16" i="4"/>
  <c r="DX17" i="4"/>
  <c r="DZ15" i="4"/>
  <c r="DX21" i="4"/>
  <c r="DX15" i="4"/>
  <c r="CD15" i="4"/>
  <c r="CB17" i="4"/>
  <c r="CB16" i="4"/>
  <c r="CB15" i="4"/>
  <c r="CC21" i="4"/>
  <c r="CB19" i="4"/>
  <c r="CB21" i="4"/>
  <c r="BA19" i="4"/>
  <c r="BC15" i="4"/>
  <c r="BA17" i="4"/>
  <c r="BA16" i="4"/>
  <c r="BA15" i="4"/>
  <c r="BB21" i="4"/>
  <c r="BA21" i="4"/>
  <c r="X21" i="4"/>
  <c r="W16" i="4"/>
  <c r="W19" i="4"/>
  <c r="W21" i="4"/>
  <c r="W15" i="4"/>
  <c r="W17" i="4"/>
  <c r="M22" i="4"/>
  <c r="GM28" i="4" l="1"/>
  <c r="GL28" i="4"/>
  <c r="GL26" i="4"/>
  <c r="GL24" i="4"/>
  <c r="GL23" i="4"/>
  <c r="GN22" i="4"/>
  <c r="GL22" i="4"/>
  <c r="FW21" i="4"/>
  <c r="FW19" i="4"/>
  <c r="FW16" i="4"/>
  <c r="FX21" i="4"/>
  <c r="FW15" i="4"/>
  <c r="FM22" i="4"/>
  <c r="FW17" i="4"/>
  <c r="DQ22" i="4"/>
  <c r="EB21" i="4"/>
  <c r="EA17" i="4"/>
  <c r="EA16" i="4"/>
  <c r="EA15" i="4"/>
  <c r="EA21" i="4"/>
  <c r="EA19" i="4"/>
  <c r="BU22" i="4"/>
  <c r="CE21" i="4"/>
  <c r="CF21" i="4"/>
  <c r="CE19" i="4"/>
  <c r="CE16" i="4"/>
  <c r="CE17" i="4"/>
  <c r="CE15" i="4"/>
  <c r="BF15" i="4"/>
  <c r="BD17" i="4"/>
  <c r="BD16" i="4"/>
  <c r="BD15" i="4"/>
  <c r="BE21" i="4"/>
  <c r="BD21" i="4"/>
  <c r="BD19" i="4"/>
  <c r="N23" i="4"/>
  <c r="N26" i="4"/>
  <c r="N22" i="4"/>
  <c r="O28" i="4"/>
  <c r="P22" i="4"/>
  <c r="N24" i="4"/>
  <c r="N28" i="4"/>
  <c r="GO24" i="4" l="1"/>
  <c r="GO28" i="4"/>
  <c r="GO26" i="4"/>
  <c r="GQ22" i="4"/>
  <c r="GO22" i="4"/>
  <c r="GP28" i="4"/>
  <c r="GO23" i="4"/>
  <c r="FO28" i="4"/>
  <c r="FN23" i="4"/>
  <c r="FN22" i="4"/>
  <c r="FN28" i="4"/>
  <c r="FN26" i="4"/>
  <c r="FN24" i="4"/>
  <c r="FP22" i="4"/>
  <c r="DS28" i="4"/>
  <c r="DR23" i="4"/>
  <c r="DR26" i="4"/>
  <c r="DR28" i="4"/>
  <c r="DR24" i="4"/>
  <c r="DT22" i="4"/>
  <c r="DR22" i="4"/>
  <c r="BW28" i="4"/>
  <c r="BV26" i="4"/>
  <c r="BV22" i="4"/>
  <c r="BV23" i="4"/>
  <c r="BV28" i="4"/>
  <c r="BX22" i="4"/>
  <c r="BV24" i="4"/>
  <c r="BH21" i="4"/>
  <c r="BG17" i="4"/>
  <c r="BG16" i="4"/>
  <c r="BG15" i="4"/>
  <c r="BG21" i="4"/>
  <c r="AW22" i="4"/>
  <c r="BG19" i="4"/>
  <c r="R28" i="4"/>
  <c r="Q24" i="4"/>
  <c r="Q23" i="4"/>
  <c r="Q22" i="4"/>
  <c r="Q26" i="4"/>
  <c r="Q28" i="4"/>
  <c r="S22" i="4"/>
  <c r="GR24" i="4" l="1"/>
  <c r="GR23" i="4"/>
  <c r="GS28" i="4"/>
  <c r="GR28" i="4"/>
  <c r="GR26" i="4"/>
  <c r="GT22" i="4"/>
  <c r="GR22" i="4"/>
  <c r="FQ23" i="4"/>
  <c r="FR28" i="4"/>
  <c r="FS22" i="4"/>
  <c r="FQ28" i="4"/>
  <c r="FQ26" i="4"/>
  <c r="FQ22" i="4"/>
  <c r="FQ24" i="4"/>
  <c r="DV28" i="4"/>
  <c r="DU28" i="4"/>
  <c r="DU26" i="4"/>
  <c r="DU24" i="4"/>
  <c r="DU23" i="4"/>
  <c r="DW22" i="4"/>
  <c r="DU22" i="4"/>
  <c r="BZ28" i="4"/>
  <c r="BY23" i="4"/>
  <c r="BY28" i="4"/>
  <c r="BY24" i="4"/>
  <c r="BY22" i="4"/>
  <c r="BY26" i="4"/>
  <c r="CA22" i="4"/>
  <c r="AY28" i="4"/>
  <c r="AX26" i="4"/>
  <c r="AX28" i="4"/>
  <c r="AX24" i="4"/>
  <c r="AX23" i="4"/>
  <c r="AZ22" i="4"/>
  <c r="AX22" i="4"/>
  <c r="T28" i="4"/>
  <c r="V22" i="4"/>
  <c r="T24" i="4"/>
  <c r="T26" i="4"/>
  <c r="T23" i="4"/>
  <c r="U28" i="4"/>
  <c r="T22" i="4"/>
  <c r="GV28" i="4" l="1"/>
  <c r="GU24" i="4"/>
  <c r="GU23" i="4"/>
  <c r="GU28" i="4"/>
  <c r="GU26" i="4"/>
  <c r="GK29" i="4"/>
  <c r="GU22" i="4"/>
  <c r="FU28" i="4"/>
  <c r="FT28" i="4"/>
  <c r="FT23" i="4"/>
  <c r="FV22" i="4"/>
  <c r="FT22" i="4"/>
  <c r="FT26" i="4"/>
  <c r="FT24" i="4"/>
  <c r="DX24" i="4"/>
  <c r="DY28" i="4"/>
  <c r="DX26" i="4"/>
  <c r="DX28" i="4"/>
  <c r="DZ22" i="4"/>
  <c r="DX23" i="4"/>
  <c r="DX22" i="4"/>
  <c r="CC28" i="4"/>
  <c r="CB26" i="4"/>
  <c r="CD22" i="4"/>
  <c r="CB28" i="4"/>
  <c r="CB23" i="4"/>
  <c r="CB24" i="4"/>
  <c r="CB22" i="4"/>
  <c r="BA26" i="4"/>
  <c r="BC22" i="4"/>
  <c r="BA24" i="4"/>
  <c r="BA23" i="4"/>
  <c r="BA22" i="4"/>
  <c r="BB28" i="4"/>
  <c r="BA28" i="4"/>
  <c r="W24" i="4"/>
  <c r="W23" i="4"/>
  <c r="W28" i="4"/>
  <c r="W22" i="4"/>
  <c r="M29" i="4"/>
  <c r="W26" i="4"/>
  <c r="X28" i="4"/>
  <c r="GM35" i="4" l="1"/>
  <c r="GL35" i="4"/>
  <c r="GN29" i="4"/>
  <c r="GL33" i="4"/>
  <c r="GL31" i="4"/>
  <c r="GL29" i="4"/>
  <c r="GL30" i="4"/>
  <c r="FX28" i="4"/>
  <c r="FW24" i="4"/>
  <c r="FW23" i="4"/>
  <c r="FW28" i="4"/>
  <c r="FW26" i="4"/>
  <c r="FM29" i="4"/>
  <c r="FW22" i="4"/>
  <c r="EB28" i="4"/>
  <c r="EA24" i="4"/>
  <c r="EA23" i="4"/>
  <c r="EA28" i="4"/>
  <c r="EA22" i="4"/>
  <c r="EA26" i="4"/>
  <c r="DQ29" i="4"/>
  <c r="CF28" i="4"/>
  <c r="CE24" i="4"/>
  <c r="CE23" i="4"/>
  <c r="CE28" i="4"/>
  <c r="BU29" i="4"/>
  <c r="CE22" i="4"/>
  <c r="CE26" i="4"/>
  <c r="BF22" i="4"/>
  <c r="BD24" i="4"/>
  <c r="BD23" i="4"/>
  <c r="BD22" i="4"/>
  <c r="BE28" i="4"/>
  <c r="BD28" i="4"/>
  <c r="BD26" i="4"/>
  <c r="O35" i="4"/>
  <c r="P29" i="4"/>
  <c r="N35" i="4"/>
  <c r="N29" i="4"/>
  <c r="N33" i="4"/>
  <c r="N31" i="4"/>
  <c r="N30" i="4"/>
  <c r="GQ29" i="4" l="1"/>
  <c r="GO31" i="4"/>
  <c r="GO30" i="4"/>
  <c r="GO29" i="4"/>
  <c r="GO35" i="4"/>
  <c r="GO33" i="4"/>
  <c r="GP35" i="4"/>
  <c r="FO35" i="4"/>
  <c r="FP29" i="4"/>
  <c r="FN31" i="4"/>
  <c r="FN29" i="4"/>
  <c r="FN30" i="4"/>
  <c r="FN35" i="4"/>
  <c r="FN33" i="4"/>
  <c r="DS35" i="4"/>
  <c r="DR35" i="4"/>
  <c r="DT29" i="4"/>
  <c r="DR31" i="4"/>
  <c r="DR30" i="4"/>
  <c r="DR33" i="4"/>
  <c r="DR29" i="4"/>
  <c r="BW35" i="4"/>
  <c r="BV31" i="4"/>
  <c r="BV30" i="4"/>
  <c r="BV29" i="4"/>
  <c r="BV33" i="4"/>
  <c r="BX29" i="4"/>
  <c r="BV35" i="4"/>
  <c r="BH28" i="4"/>
  <c r="BG24" i="4"/>
  <c r="BG23" i="4"/>
  <c r="BG22" i="4"/>
  <c r="BG28" i="4"/>
  <c r="BG26" i="4"/>
  <c r="AW29" i="4"/>
  <c r="Q31" i="4"/>
  <c r="Q33" i="4"/>
  <c r="R35" i="4"/>
  <c r="S29" i="4"/>
  <c r="Q30" i="4"/>
  <c r="Q29" i="4"/>
  <c r="Q35" i="4"/>
  <c r="GT29" i="4" l="1"/>
  <c r="GR31" i="4"/>
  <c r="GR30" i="4"/>
  <c r="GR29" i="4"/>
  <c r="GS35" i="4"/>
  <c r="GR35" i="4"/>
  <c r="GR33" i="4"/>
  <c r="FS29" i="4"/>
  <c r="FQ30" i="4"/>
  <c r="FQ35" i="4"/>
  <c r="FQ33" i="4"/>
  <c r="FR35" i="4"/>
  <c r="FQ29" i="4"/>
  <c r="FQ31" i="4"/>
  <c r="DU31" i="4"/>
  <c r="DU30" i="4"/>
  <c r="DU29" i="4"/>
  <c r="DV35" i="4"/>
  <c r="DU33" i="4"/>
  <c r="DW29" i="4"/>
  <c r="DU35" i="4"/>
  <c r="BY33" i="4"/>
  <c r="BY35" i="4"/>
  <c r="CA29" i="4"/>
  <c r="BY31" i="4"/>
  <c r="BY29" i="4"/>
  <c r="BY30" i="4"/>
  <c r="BZ35" i="4"/>
  <c r="AY35" i="4"/>
  <c r="AX33" i="4"/>
  <c r="AX35" i="4"/>
  <c r="AX29" i="4"/>
  <c r="AZ29" i="4"/>
  <c r="AX30" i="4"/>
  <c r="AX31" i="4"/>
  <c r="T29" i="4"/>
  <c r="T33" i="4"/>
  <c r="T31" i="4"/>
  <c r="T30" i="4"/>
  <c r="U35" i="4"/>
  <c r="T35" i="4"/>
  <c r="V29" i="4"/>
  <c r="GV35" i="4" l="1"/>
  <c r="GU31" i="4"/>
  <c r="GU30" i="4"/>
  <c r="GU29" i="4"/>
  <c r="GU35" i="4"/>
  <c r="GU33" i="4"/>
  <c r="GK36" i="4"/>
  <c r="FV29" i="4"/>
  <c r="FU35" i="4"/>
  <c r="FT35" i="4"/>
  <c r="FT30" i="4"/>
  <c r="FT31" i="4"/>
  <c r="FT33" i="4"/>
  <c r="FT29" i="4"/>
  <c r="DZ29" i="4"/>
  <c r="DY35" i="4"/>
  <c r="DX33" i="4"/>
  <c r="DX35" i="4"/>
  <c r="DX30" i="4"/>
  <c r="DX29" i="4"/>
  <c r="DX31" i="4"/>
  <c r="CD29" i="4"/>
  <c r="CB35" i="4"/>
  <c r="CB30" i="4"/>
  <c r="CC35" i="4"/>
  <c r="CB33" i="4"/>
  <c r="CB31" i="4"/>
  <c r="CB29" i="4"/>
  <c r="BA33" i="4"/>
  <c r="BB35" i="4"/>
  <c r="BC29" i="4"/>
  <c r="BA31" i="4"/>
  <c r="BA30" i="4"/>
  <c r="BA29" i="4"/>
  <c r="BA35" i="4"/>
  <c r="W35" i="4"/>
  <c r="W30" i="4"/>
  <c r="W29" i="4"/>
  <c r="M36" i="4"/>
  <c r="W33" i="4"/>
  <c r="W31" i="4"/>
  <c r="X35" i="4"/>
  <c r="GM42" i="4" l="1"/>
  <c r="GL42" i="4"/>
  <c r="GN36" i="4"/>
  <c r="GL40" i="4"/>
  <c r="GL38" i="4"/>
  <c r="GL36" i="4"/>
  <c r="GL37" i="4"/>
  <c r="FX35" i="4"/>
  <c r="FW31" i="4"/>
  <c r="FW30" i="4"/>
  <c r="FW29" i="4"/>
  <c r="FW35" i="4"/>
  <c r="FW33" i="4"/>
  <c r="FM36" i="4"/>
  <c r="EB35" i="4"/>
  <c r="EA31" i="4"/>
  <c r="EA30" i="4"/>
  <c r="EA29" i="4"/>
  <c r="EA35" i="4"/>
  <c r="EA33" i="4"/>
  <c r="DQ36" i="4"/>
  <c r="CF35" i="4"/>
  <c r="CE31" i="4"/>
  <c r="CE30" i="4"/>
  <c r="CE29" i="4"/>
  <c r="CE35" i="4"/>
  <c r="BU36" i="4"/>
  <c r="CE33" i="4"/>
  <c r="BF29" i="4"/>
  <c r="BD31" i="4"/>
  <c r="BD30" i="4"/>
  <c r="BD29" i="4"/>
  <c r="BE35" i="4"/>
  <c r="BD35" i="4"/>
  <c r="BD33" i="4"/>
  <c r="N40" i="4"/>
  <c r="N37" i="4"/>
  <c r="N36" i="4"/>
  <c r="O42" i="4"/>
  <c r="P36" i="4"/>
  <c r="N38" i="4"/>
  <c r="N42" i="4"/>
  <c r="GQ36" i="4" l="1"/>
  <c r="GO38" i="4"/>
  <c r="GO37" i="4"/>
  <c r="GO36" i="4"/>
  <c r="GO42" i="4"/>
  <c r="GP42" i="4"/>
  <c r="GO40" i="4"/>
  <c r="FO42" i="4"/>
  <c r="FN42" i="4"/>
  <c r="FN38" i="4"/>
  <c r="FN37" i="4"/>
  <c r="FP36" i="4"/>
  <c r="FN40" i="4"/>
  <c r="FN36" i="4"/>
  <c r="DS42" i="4"/>
  <c r="DR37" i="4"/>
  <c r="DR42" i="4"/>
  <c r="DR38" i="4"/>
  <c r="DR40" i="4"/>
  <c r="DT36" i="4"/>
  <c r="DR36" i="4"/>
  <c r="BW42" i="4"/>
  <c r="BV37" i="4"/>
  <c r="BV42" i="4"/>
  <c r="BV38" i="4"/>
  <c r="BV36" i="4"/>
  <c r="BV40" i="4"/>
  <c r="BX36" i="4"/>
  <c r="BH35" i="4"/>
  <c r="BG31" i="4"/>
  <c r="BG30" i="4"/>
  <c r="BG29" i="4"/>
  <c r="BG35" i="4"/>
  <c r="BG33" i="4"/>
  <c r="AW36" i="4"/>
  <c r="R42" i="4"/>
  <c r="Q42" i="4"/>
  <c r="S36" i="4"/>
  <c r="Q38" i="4"/>
  <c r="Q37" i="4"/>
  <c r="Q36" i="4"/>
  <c r="Q40" i="4"/>
  <c r="GT36" i="4" l="1"/>
  <c r="GR38" i="4"/>
  <c r="GR37" i="4"/>
  <c r="GR36" i="4"/>
  <c r="GS42" i="4"/>
  <c r="GR42" i="4"/>
  <c r="GR40" i="4"/>
  <c r="FS36" i="4"/>
  <c r="FQ38" i="4"/>
  <c r="FQ37" i="4"/>
  <c r="FQ36" i="4"/>
  <c r="FQ40" i="4"/>
  <c r="FR42" i="4"/>
  <c r="FQ42" i="4"/>
  <c r="DW36" i="4"/>
  <c r="DV42" i="4"/>
  <c r="DU42" i="4"/>
  <c r="DU40" i="4"/>
  <c r="DU37" i="4"/>
  <c r="DU36" i="4"/>
  <c r="DU38" i="4"/>
  <c r="CA36" i="4"/>
  <c r="BZ42" i="4"/>
  <c r="BY42" i="4"/>
  <c r="BY40" i="4"/>
  <c r="BY38" i="4"/>
  <c r="BY36" i="4"/>
  <c r="BY37" i="4"/>
  <c r="AY42" i="4"/>
  <c r="AX40" i="4"/>
  <c r="AX42" i="4"/>
  <c r="AX38" i="4"/>
  <c r="AZ36" i="4"/>
  <c r="AX36" i="4"/>
  <c r="AX37" i="4"/>
  <c r="T42" i="4"/>
  <c r="V36" i="4"/>
  <c r="T38" i="4"/>
  <c r="T37" i="4"/>
  <c r="U42" i="4"/>
  <c r="T36" i="4"/>
  <c r="T40" i="4"/>
  <c r="GV42" i="4" l="1"/>
  <c r="GU38" i="4"/>
  <c r="GU37" i="4"/>
  <c r="GU36" i="4"/>
  <c r="GU42" i="4"/>
  <c r="GU40" i="4"/>
  <c r="GK43" i="4"/>
  <c r="FV36" i="4"/>
  <c r="FT38" i="4"/>
  <c r="FT37" i="4"/>
  <c r="FU42" i="4"/>
  <c r="FT36" i="4"/>
  <c r="FT40" i="4"/>
  <c r="FT42" i="4"/>
  <c r="DZ36" i="4"/>
  <c r="DY42" i="4"/>
  <c r="DX40" i="4"/>
  <c r="DX42" i="4"/>
  <c r="DX38" i="4"/>
  <c r="DX36" i="4"/>
  <c r="DX37" i="4"/>
  <c r="CD36" i="4"/>
  <c r="CC42" i="4"/>
  <c r="CB40" i="4"/>
  <c r="CB38" i="4"/>
  <c r="CB42" i="4"/>
  <c r="CB36" i="4"/>
  <c r="CB37" i="4"/>
  <c r="BA40" i="4"/>
  <c r="BB42" i="4"/>
  <c r="BC36" i="4"/>
  <c r="BA38" i="4"/>
  <c r="BA37" i="4"/>
  <c r="BA36" i="4"/>
  <c r="BA42" i="4"/>
  <c r="W37" i="4"/>
  <c r="M43" i="4"/>
  <c r="W36" i="4"/>
  <c r="W38" i="4"/>
  <c r="W40" i="4"/>
  <c r="X42" i="4"/>
  <c r="W42" i="4"/>
  <c r="GM49" i="4" l="1"/>
  <c r="GL49" i="4"/>
  <c r="GN43" i="4"/>
  <c r="GL47" i="4"/>
  <c r="GL44" i="4"/>
  <c r="GL45" i="4"/>
  <c r="GL43" i="4"/>
  <c r="FX42" i="4"/>
  <c r="FW38" i="4"/>
  <c r="FW37" i="4"/>
  <c r="FW36" i="4"/>
  <c r="FW42" i="4"/>
  <c r="FW40" i="4"/>
  <c r="FM43" i="4"/>
  <c r="EB42" i="4"/>
  <c r="EA38" i="4"/>
  <c r="EA37" i="4"/>
  <c r="EA36" i="4"/>
  <c r="EA42" i="4"/>
  <c r="DQ43" i="4"/>
  <c r="EA40" i="4"/>
  <c r="CF42" i="4"/>
  <c r="CE38" i="4"/>
  <c r="CE37" i="4"/>
  <c r="CE36" i="4"/>
  <c r="CE42" i="4"/>
  <c r="BU43" i="4"/>
  <c r="CE40" i="4"/>
  <c r="BF36" i="4"/>
  <c r="BD38" i="4"/>
  <c r="BD37" i="4"/>
  <c r="BD36" i="4"/>
  <c r="BE42" i="4"/>
  <c r="BD42" i="4"/>
  <c r="BD40" i="4"/>
  <c r="O49" i="4"/>
  <c r="N44" i="4"/>
  <c r="P43" i="4"/>
  <c r="N49" i="4"/>
  <c r="N43" i="4"/>
  <c r="N47" i="4"/>
  <c r="N45" i="4"/>
  <c r="GQ43" i="4" l="1"/>
  <c r="GO45" i="4"/>
  <c r="GO44" i="4"/>
  <c r="GO43" i="4"/>
  <c r="GO49" i="4"/>
  <c r="GO47" i="4"/>
  <c r="GP49" i="4"/>
  <c r="FO49" i="4"/>
  <c r="FN49" i="4"/>
  <c r="FP43" i="4"/>
  <c r="FN45" i="4"/>
  <c r="FN44" i="4"/>
  <c r="FN43" i="4"/>
  <c r="FN47" i="4"/>
  <c r="DS49" i="4"/>
  <c r="DR47" i="4"/>
  <c r="DT43" i="4"/>
  <c r="DR49" i="4"/>
  <c r="DR44" i="4"/>
  <c r="DR43" i="4"/>
  <c r="DR45" i="4"/>
  <c r="BW49" i="4"/>
  <c r="BV44" i="4"/>
  <c r="BX43" i="4"/>
  <c r="BV49" i="4"/>
  <c r="BV43" i="4"/>
  <c r="BV45" i="4"/>
  <c r="BV47" i="4"/>
  <c r="BH42" i="4"/>
  <c r="BG38" i="4"/>
  <c r="BG37" i="4"/>
  <c r="BG36" i="4"/>
  <c r="BG42" i="4"/>
  <c r="BG40" i="4"/>
  <c r="AW43" i="4"/>
  <c r="Q45" i="4"/>
  <c r="Q43" i="4"/>
  <c r="Q47" i="4"/>
  <c r="S43" i="4"/>
  <c r="R49" i="4"/>
  <c r="Q44" i="4"/>
  <c r="Q49" i="4"/>
  <c r="GT43" i="4" l="1"/>
  <c r="GR45" i="4"/>
  <c r="GR44" i="4"/>
  <c r="GR43" i="4"/>
  <c r="GS49" i="4"/>
  <c r="GR49" i="4"/>
  <c r="GR47" i="4"/>
  <c r="FS43" i="4"/>
  <c r="FQ45" i="4"/>
  <c r="FQ44" i="4"/>
  <c r="FQ43" i="4"/>
  <c r="FQ47" i="4"/>
  <c r="FR49" i="4"/>
  <c r="FQ49" i="4"/>
  <c r="DW43" i="4"/>
  <c r="DU44" i="4"/>
  <c r="DU43" i="4"/>
  <c r="DV49" i="4"/>
  <c r="DU49" i="4"/>
  <c r="DU45" i="4"/>
  <c r="DU47" i="4"/>
  <c r="CA43" i="4"/>
  <c r="BY44" i="4"/>
  <c r="BZ49" i="4"/>
  <c r="BY49" i="4"/>
  <c r="BY47" i="4"/>
  <c r="BY45" i="4"/>
  <c r="BY43" i="4"/>
  <c r="AY49" i="4"/>
  <c r="AX47" i="4"/>
  <c r="AX49" i="4"/>
  <c r="AX45" i="4"/>
  <c r="AX44" i="4"/>
  <c r="AX43" i="4"/>
  <c r="AZ43" i="4"/>
  <c r="T47" i="4"/>
  <c r="T49" i="4"/>
  <c r="T45" i="4"/>
  <c r="V43" i="4"/>
  <c r="T44" i="4"/>
  <c r="T43" i="4"/>
  <c r="U49" i="4"/>
  <c r="GV49" i="4" l="1"/>
  <c r="GU45" i="4"/>
  <c r="GU44" i="4"/>
  <c r="GU43" i="4"/>
  <c r="GU49" i="4"/>
  <c r="GU47" i="4"/>
  <c r="GW1" i="4"/>
  <c r="FV43" i="4"/>
  <c r="FT45" i="4"/>
  <c r="FT44" i="4"/>
  <c r="FT43" i="4"/>
  <c r="FU49" i="4"/>
  <c r="FT47" i="4"/>
  <c r="FT49" i="4"/>
  <c r="DZ43" i="4"/>
  <c r="DY49" i="4"/>
  <c r="DX49" i="4"/>
  <c r="DX44" i="4"/>
  <c r="DX43" i="4"/>
  <c r="DX45" i="4"/>
  <c r="DX47" i="4"/>
  <c r="CD43" i="4"/>
  <c r="CC49" i="4"/>
  <c r="CB49" i="4"/>
  <c r="CB44" i="4"/>
  <c r="CB47" i="4"/>
  <c r="CB43" i="4"/>
  <c r="CB45" i="4"/>
  <c r="BA47" i="4"/>
  <c r="BC43" i="4"/>
  <c r="BB49" i="4"/>
  <c r="BA45" i="4"/>
  <c r="BA44" i="4"/>
  <c r="BA43" i="4"/>
  <c r="BA49" i="4"/>
  <c r="W49" i="4"/>
  <c r="W45" i="4"/>
  <c r="W44" i="4"/>
  <c r="W47" i="4"/>
  <c r="Y1" i="4"/>
  <c r="W43" i="4"/>
  <c r="X49" i="4"/>
  <c r="GW46" i="4" l="1"/>
  <c r="GW39" i="4"/>
  <c r="GW32" i="4"/>
  <c r="GW25" i="4"/>
  <c r="GW49" i="4"/>
  <c r="GW45" i="4"/>
  <c r="GW44" i="4"/>
  <c r="GW42" i="4"/>
  <c r="GW38" i="4"/>
  <c r="GW37" i="4"/>
  <c r="GW35" i="4"/>
  <c r="GW31" i="4"/>
  <c r="GW30" i="4"/>
  <c r="GW28" i="4"/>
  <c r="GW24" i="4"/>
  <c r="GW23" i="4"/>
  <c r="GW4" i="4"/>
  <c r="GZ1" i="4"/>
  <c r="GX3" i="4"/>
  <c r="GX2" i="4"/>
  <c r="GX1" i="4"/>
  <c r="GW3" i="4"/>
  <c r="GW2" i="4"/>
  <c r="GY7" i="4"/>
  <c r="GW18" i="4"/>
  <c r="GW11" i="4"/>
  <c r="GX7" i="4"/>
  <c r="GW21" i="4"/>
  <c r="GW9" i="4"/>
  <c r="GX5" i="4"/>
  <c r="GW10" i="4"/>
  <c r="GW17" i="4"/>
  <c r="GW16" i="4"/>
  <c r="GW14" i="4"/>
  <c r="FX49" i="4"/>
  <c r="FW45" i="4"/>
  <c r="FW44" i="4"/>
  <c r="FW43" i="4"/>
  <c r="FW49" i="4"/>
  <c r="FW47" i="4"/>
  <c r="EB49" i="4"/>
  <c r="EA45" i="4"/>
  <c r="EA44" i="4"/>
  <c r="EA43" i="4"/>
  <c r="EA49" i="4"/>
  <c r="EA47" i="4"/>
  <c r="EC1" i="4"/>
  <c r="CF49" i="4"/>
  <c r="CE45" i="4"/>
  <c r="CE44" i="4"/>
  <c r="CE43" i="4"/>
  <c r="CE49" i="4"/>
  <c r="CE47" i="4"/>
  <c r="CG1" i="4"/>
  <c r="BF43" i="4"/>
  <c r="BD45" i="4"/>
  <c r="BD44" i="4"/>
  <c r="BD43" i="4"/>
  <c r="BE49" i="4"/>
  <c r="BD49" i="4"/>
  <c r="BD47" i="4"/>
  <c r="Z5" i="4"/>
  <c r="Y16" i="4"/>
  <c r="Y30" i="4"/>
  <c r="Y2" i="4"/>
  <c r="Y21" i="4"/>
  <c r="Y49" i="4"/>
  <c r="Y28" i="4"/>
  <c r="Z7" i="4"/>
  <c r="Z1" i="4"/>
  <c r="Y32" i="4"/>
  <c r="Y23" i="4"/>
  <c r="Y46" i="4"/>
  <c r="Z3" i="4"/>
  <c r="Z2" i="4"/>
  <c r="Y24" i="4"/>
  <c r="Y42" i="4"/>
  <c r="Y37" i="4"/>
  <c r="Y38" i="4"/>
  <c r="Y35" i="4"/>
  <c r="AA7" i="4"/>
  <c r="Y3" i="4"/>
  <c r="Y10" i="4"/>
  <c r="Y11" i="4"/>
  <c r="Y44" i="4"/>
  <c r="Y39" i="4"/>
  <c r="Y31" i="4"/>
  <c r="Y14" i="4"/>
  <c r="Y17" i="4"/>
  <c r="Y4" i="4"/>
  <c r="Y25" i="4"/>
  <c r="AB1" i="4"/>
  <c r="Y45" i="4"/>
  <c r="Y18" i="4"/>
  <c r="Y9" i="4"/>
  <c r="HC28" i="4" l="1"/>
  <c r="HF28" i="4" s="1"/>
  <c r="GZ28" i="4"/>
  <c r="HC14" i="4"/>
  <c r="HF14" i="4" s="1"/>
  <c r="GZ14" i="4"/>
  <c r="HC42" i="4"/>
  <c r="HF42" i="4" s="1"/>
  <c r="GZ42" i="4"/>
  <c r="HC49" i="4"/>
  <c r="HF49" i="4" s="1"/>
  <c r="GZ49" i="4"/>
  <c r="HC21" i="4"/>
  <c r="HF21" i="4" s="1"/>
  <c r="GZ21" i="4"/>
  <c r="HC35" i="4"/>
  <c r="HF35" i="4" s="1"/>
  <c r="GZ35" i="4"/>
  <c r="GZ48" i="4"/>
  <c r="GZ45" i="4"/>
  <c r="GZ44" i="4"/>
  <c r="GZ41" i="4"/>
  <c r="GZ38" i="4"/>
  <c r="GZ37" i="4"/>
  <c r="GZ34" i="4"/>
  <c r="GZ31" i="4"/>
  <c r="GZ30" i="4"/>
  <c r="GZ27" i="4"/>
  <c r="GZ24" i="4"/>
  <c r="HB7" i="4"/>
  <c r="GZ6" i="4"/>
  <c r="GZ3" i="4"/>
  <c r="GZ2" i="4"/>
  <c r="HA7" i="4"/>
  <c r="GZ23" i="4"/>
  <c r="GZ20" i="4"/>
  <c r="GZ17" i="4"/>
  <c r="GZ16" i="4"/>
  <c r="GZ13" i="4"/>
  <c r="GZ10" i="4"/>
  <c r="GZ9" i="4"/>
  <c r="HA5" i="4"/>
  <c r="HC1" i="4"/>
  <c r="HA3" i="4"/>
  <c r="HA2" i="4"/>
  <c r="HA1" i="4"/>
  <c r="EC21" i="4"/>
  <c r="EC17" i="4"/>
  <c r="EC16" i="4"/>
  <c r="EC14" i="4"/>
  <c r="EC10" i="4"/>
  <c r="EC9" i="4"/>
  <c r="ED5" i="4"/>
  <c r="EC38" i="4"/>
  <c r="EC24" i="4"/>
  <c r="EC18" i="4"/>
  <c r="EF1" i="4"/>
  <c r="ED3" i="4"/>
  <c r="ED1" i="4"/>
  <c r="EC49" i="4"/>
  <c r="EC3" i="4"/>
  <c r="EC45" i="4"/>
  <c r="EC44" i="4"/>
  <c r="EC4" i="4"/>
  <c r="EC46" i="4"/>
  <c r="EC28" i="4"/>
  <c r="EE7" i="4"/>
  <c r="ED7" i="4"/>
  <c r="ED2" i="4"/>
  <c r="EC25" i="4"/>
  <c r="EC35" i="4"/>
  <c r="EC31" i="4"/>
  <c r="EC32" i="4"/>
  <c r="EC23" i="4"/>
  <c r="EC42" i="4"/>
  <c r="EC39" i="4"/>
  <c r="EC37" i="4"/>
  <c r="EC30" i="4"/>
  <c r="EC11" i="4"/>
  <c r="EC2" i="4"/>
  <c r="CG38" i="4"/>
  <c r="CG28" i="4"/>
  <c r="CG25" i="4"/>
  <c r="CG21" i="4"/>
  <c r="CG17" i="4"/>
  <c r="CG16" i="4"/>
  <c r="CG45" i="4"/>
  <c r="CG31" i="4"/>
  <c r="CG30" i="4"/>
  <c r="CG39" i="4"/>
  <c r="CG37" i="4"/>
  <c r="CG35" i="4"/>
  <c r="CG32" i="4"/>
  <c r="CG23" i="4"/>
  <c r="CG46" i="4"/>
  <c r="CG24" i="4"/>
  <c r="CG18" i="4"/>
  <c r="CH3" i="4"/>
  <c r="CH2" i="4"/>
  <c r="CG49" i="4"/>
  <c r="CG14" i="4"/>
  <c r="CH1" i="4"/>
  <c r="CH5" i="4"/>
  <c r="CG11" i="4"/>
  <c r="CG9" i="4"/>
  <c r="CG2" i="4"/>
  <c r="CG44" i="4"/>
  <c r="CG3" i="4"/>
  <c r="CI7" i="4"/>
  <c r="CH7" i="4"/>
  <c r="CG4" i="4"/>
  <c r="CJ1" i="4"/>
  <c r="CG42" i="4"/>
  <c r="CG10" i="4"/>
  <c r="BH49" i="4"/>
  <c r="BG45" i="4"/>
  <c r="BG44" i="4"/>
  <c r="BG43" i="4"/>
  <c r="BG49" i="4"/>
  <c r="BG47" i="4"/>
  <c r="AB21" i="4"/>
  <c r="AE21" i="4"/>
  <c r="AH21" i="4" s="1"/>
  <c r="AB42" i="4"/>
  <c r="AE42" i="4"/>
  <c r="AH42" i="4" s="1"/>
  <c r="AE14" i="4"/>
  <c r="AH14" i="4" s="1"/>
  <c r="AB14" i="4"/>
  <c r="AB35" i="4"/>
  <c r="AE35" i="4"/>
  <c r="AH35" i="4" s="1"/>
  <c r="AB45" i="4"/>
  <c r="AE1" i="4"/>
  <c r="AB2" i="4"/>
  <c r="AD7" i="4"/>
  <c r="AB30" i="4"/>
  <c r="AB34" i="4"/>
  <c r="AC7" i="4"/>
  <c r="AB17" i="4"/>
  <c r="AB10" i="4"/>
  <c r="AB23" i="4"/>
  <c r="AB9" i="4"/>
  <c r="AC1" i="4"/>
  <c r="AC5" i="4"/>
  <c r="AC2" i="4"/>
  <c r="AC3" i="4"/>
  <c r="AB13" i="4"/>
  <c r="AB16" i="4"/>
  <c r="AB48" i="4"/>
  <c r="AB37" i="4"/>
  <c r="AB44" i="4"/>
  <c r="AB38" i="4"/>
  <c r="AB3" i="4"/>
  <c r="AB41" i="4"/>
  <c r="AB20" i="4"/>
  <c r="AB24" i="4"/>
  <c r="AB27" i="4"/>
  <c r="AB31" i="4"/>
  <c r="AB6" i="4"/>
  <c r="AE28" i="4"/>
  <c r="AH28" i="4" s="1"/>
  <c r="AB28" i="4"/>
  <c r="AB49" i="4"/>
  <c r="AE49" i="4"/>
  <c r="AH49" i="4" s="1"/>
  <c r="HC45" i="4" l="1"/>
  <c r="HC44" i="4"/>
  <c r="HC38" i="4"/>
  <c r="HC37" i="4"/>
  <c r="HC31" i="4"/>
  <c r="HC30" i="4"/>
  <c r="HC24" i="4"/>
  <c r="HC23" i="4"/>
  <c r="HC48" i="4"/>
  <c r="HC41" i="4"/>
  <c r="HC34" i="4"/>
  <c r="HC27" i="4"/>
  <c r="HC17" i="4"/>
  <c r="HC16" i="4"/>
  <c r="HC10" i="4"/>
  <c r="HC9" i="4"/>
  <c r="HC20" i="4"/>
  <c r="HC13" i="4"/>
  <c r="HD5" i="4"/>
  <c r="HF1" i="4"/>
  <c r="HE7" i="4"/>
  <c r="HD3" i="4"/>
  <c r="HD2" i="4"/>
  <c r="HD1" i="4"/>
  <c r="HD7" i="4"/>
  <c r="HC3" i="4"/>
  <c r="HC2" i="4"/>
  <c r="HC6" i="4"/>
  <c r="EI49" i="4"/>
  <c r="EL49" i="4" s="1"/>
  <c r="EF49" i="4"/>
  <c r="EI42" i="4"/>
  <c r="EL42" i="4" s="1"/>
  <c r="EF42" i="4"/>
  <c r="EI28" i="4"/>
  <c r="EL28" i="4" s="1"/>
  <c r="EF28" i="4"/>
  <c r="EF14" i="4"/>
  <c r="EI14" i="4"/>
  <c r="EL14" i="4" s="1"/>
  <c r="EI21" i="4"/>
  <c r="EL21" i="4" s="1"/>
  <c r="EF21" i="4"/>
  <c r="EF48" i="4"/>
  <c r="EI1" i="4"/>
  <c r="EF45" i="4"/>
  <c r="EF27" i="4"/>
  <c r="EF23" i="4"/>
  <c r="EF3" i="4"/>
  <c r="EF44" i="4"/>
  <c r="EH7" i="4"/>
  <c r="EG5" i="4"/>
  <c r="EF41" i="4"/>
  <c r="EG7" i="4"/>
  <c r="EF10" i="4"/>
  <c r="EG3" i="4"/>
  <c r="EF31" i="4"/>
  <c r="EF24" i="4"/>
  <c r="EF9" i="4"/>
  <c r="EF2" i="4"/>
  <c r="EF13" i="4"/>
  <c r="EF6" i="4"/>
  <c r="EF38" i="4"/>
  <c r="EF37" i="4"/>
  <c r="EF34" i="4"/>
  <c r="EF20" i="4"/>
  <c r="EF30" i="4"/>
  <c r="EG1" i="4"/>
  <c r="EF16" i="4"/>
  <c r="EG2" i="4"/>
  <c r="EF17" i="4"/>
  <c r="EI35" i="4"/>
  <c r="EL35" i="4" s="1"/>
  <c r="EF35" i="4"/>
  <c r="CM14" i="4"/>
  <c r="CP14" i="4" s="1"/>
  <c r="CJ14" i="4"/>
  <c r="CM49" i="4"/>
  <c r="CP49" i="4" s="1"/>
  <c r="CJ49" i="4"/>
  <c r="CM21" i="4"/>
  <c r="CP21" i="4" s="1"/>
  <c r="CJ21" i="4"/>
  <c r="CM28" i="4"/>
  <c r="CP28" i="4" s="1"/>
  <c r="CJ28" i="4"/>
  <c r="CJ48" i="4"/>
  <c r="CJ45" i="4"/>
  <c r="CJ31" i="4"/>
  <c r="CJ30" i="4"/>
  <c r="CJ37" i="4"/>
  <c r="CJ34" i="4"/>
  <c r="CJ44" i="4"/>
  <c r="CJ24" i="4"/>
  <c r="CJ23" i="4"/>
  <c r="CJ38" i="4"/>
  <c r="CL7" i="4"/>
  <c r="CJ6" i="4"/>
  <c r="CK7" i="4"/>
  <c r="CJ41" i="4"/>
  <c r="CJ2" i="4"/>
  <c r="CK2" i="4"/>
  <c r="CJ27" i="4"/>
  <c r="CJ16" i="4"/>
  <c r="CJ3" i="4"/>
  <c r="CJ13" i="4"/>
  <c r="CM1" i="4"/>
  <c r="CJ20" i="4"/>
  <c r="CJ10" i="4"/>
  <c r="CK3" i="4"/>
  <c r="CJ17" i="4"/>
  <c r="CK5" i="4"/>
  <c r="CK1" i="4"/>
  <c r="CJ9" i="4"/>
  <c r="CM35" i="4"/>
  <c r="CP35" i="4" s="1"/>
  <c r="CJ35" i="4"/>
  <c r="CM42" i="4"/>
  <c r="CP42" i="4" s="1"/>
  <c r="CJ42" i="4"/>
  <c r="AE3" i="4"/>
  <c r="AE37" i="4"/>
  <c r="AE34" i="4"/>
  <c r="AF1" i="4"/>
  <c r="AE6" i="4"/>
  <c r="AE31" i="4"/>
  <c r="AE13" i="4"/>
  <c r="AF2" i="4"/>
  <c r="AG7" i="4"/>
  <c r="AE2" i="4"/>
  <c r="AE48" i="4"/>
  <c r="AE30" i="4"/>
  <c r="AE16" i="4"/>
  <c r="AH1" i="4"/>
  <c r="AF3" i="4"/>
  <c r="AE45" i="4"/>
  <c r="AE24" i="4"/>
  <c r="AE9" i="4"/>
  <c r="AE17" i="4"/>
  <c r="AE23" i="4"/>
  <c r="AE41" i="4"/>
  <c r="AF5" i="4"/>
  <c r="AE38" i="4"/>
  <c r="AE20" i="4"/>
  <c r="AE44" i="4"/>
  <c r="AE10" i="4"/>
  <c r="AF7" i="4"/>
  <c r="AE27" i="4"/>
  <c r="HF45" i="4" l="1"/>
  <c r="HF44" i="4"/>
  <c r="HF38" i="4"/>
  <c r="HF37" i="4"/>
  <c r="HF31" i="4"/>
  <c r="HF30" i="4"/>
  <c r="HF24" i="4"/>
  <c r="HF48" i="4"/>
  <c r="HF41" i="4"/>
  <c r="HF34" i="4"/>
  <c r="HF27" i="4"/>
  <c r="HF17" i="4"/>
  <c r="HF16" i="4"/>
  <c r="HF10" i="4"/>
  <c r="HF9" i="4"/>
  <c r="HF23" i="4"/>
  <c r="HF20" i="4"/>
  <c r="HF13" i="4"/>
  <c r="HH7" i="4"/>
  <c r="HG7" i="4"/>
  <c r="HG5" i="4"/>
  <c r="HG3" i="4"/>
  <c r="HG2" i="4"/>
  <c r="HG1" i="4"/>
  <c r="HF3" i="4"/>
  <c r="HF2" i="4"/>
  <c r="GW8" i="4"/>
  <c r="HF6" i="4"/>
  <c r="EI45" i="4"/>
  <c r="EI44" i="4"/>
  <c r="EI38" i="4"/>
  <c r="EI37" i="4"/>
  <c r="EI27" i="4"/>
  <c r="EJ7" i="4"/>
  <c r="EI3" i="4"/>
  <c r="EI2" i="4"/>
  <c r="EI31" i="4"/>
  <c r="EI30" i="4"/>
  <c r="EI10" i="4"/>
  <c r="EJ5" i="4"/>
  <c r="EI41" i="4"/>
  <c r="EI23" i="4"/>
  <c r="EI17" i="4"/>
  <c r="EI16" i="4"/>
  <c r="EJ2" i="4"/>
  <c r="EI13" i="4"/>
  <c r="EI6" i="4"/>
  <c r="EL1" i="4"/>
  <c r="EJ1" i="4"/>
  <c r="EI48" i="4"/>
  <c r="EI34" i="4"/>
  <c r="EK7" i="4"/>
  <c r="EJ3" i="4"/>
  <c r="EI9" i="4"/>
  <c r="EI20" i="4"/>
  <c r="EI24" i="4"/>
  <c r="CM45" i="4"/>
  <c r="CM44" i="4"/>
  <c r="CM38" i="4"/>
  <c r="CM37" i="4"/>
  <c r="CM24" i="4"/>
  <c r="CM23" i="4"/>
  <c r="CM41" i="4"/>
  <c r="CM30" i="4"/>
  <c r="CM48" i="4"/>
  <c r="CM17" i="4"/>
  <c r="CM16" i="4"/>
  <c r="CM10" i="4"/>
  <c r="CM9" i="4"/>
  <c r="CM27" i="4"/>
  <c r="CO7" i="4"/>
  <c r="CM20" i="4"/>
  <c r="CM2" i="4"/>
  <c r="CM13" i="4"/>
  <c r="CN7" i="4"/>
  <c r="CN3" i="4"/>
  <c r="CN1" i="4"/>
  <c r="CM34" i="4"/>
  <c r="CM3" i="4"/>
  <c r="CN5" i="4"/>
  <c r="CN2" i="4"/>
  <c r="CM6" i="4"/>
  <c r="CP1" i="4"/>
  <c r="CM31" i="4"/>
  <c r="AI2" i="4"/>
  <c r="AH24" i="4"/>
  <c r="AH48" i="4"/>
  <c r="AI7" i="4"/>
  <c r="AH27" i="4"/>
  <c r="AH10" i="4"/>
  <c r="AI5" i="4"/>
  <c r="AH3" i="4"/>
  <c r="AH16" i="4"/>
  <c r="AH20" i="4"/>
  <c r="AI3" i="4"/>
  <c r="AH17" i="4"/>
  <c r="AH2" i="4"/>
  <c r="AH23" i="4"/>
  <c r="AH38" i="4"/>
  <c r="Y8" i="4"/>
  <c r="AH44" i="4"/>
  <c r="AH41" i="4"/>
  <c r="AI1" i="4"/>
  <c r="AH30" i="4"/>
  <c r="AH45" i="4"/>
  <c r="AH9" i="4"/>
  <c r="AJ7" i="4"/>
  <c r="AH34" i="4"/>
  <c r="AH37" i="4"/>
  <c r="AH13" i="4"/>
  <c r="AH31" i="4"/>
  <c r="AH6" i="4"/>
  <c r="GX12" i="4" l="1"/>
  <c r="GY14" i="4"/>
  <c r="GZ8" i="4"/>
  <c r="GX14" i="4"/>
  <c r="GX10" i="4"/>
  <c r="GX9" i="4"/>
  <c r="GX8" i="4"/>
  <c r="EL45" i="4"/>
  <c r="EL44" i="4"/>
  <c r="EL38" i="4"/>
  <c r="EL37" i="4"/>
  <c r="EL31" i="4"/>
  <c r="EL30" i="4"/>
  <c r="EL24" i="4"/>
  <c r="EL48" i="4"/>
  <c r="EL41" i="4"/>
  <c r="EC8" i="4"/>
  <c r="EL6" i="4"/>
  <c r="EL17" i="4"/>
  <c r="EL16" i="4"/>
  <c r="EM2" i="4"/>
  <c r="EL2" i="4"/>
  <c r="EL9" i="4"/>
  <c r="EL13" i="4"/>
  <c r="EM5" i="4"/>
  <c r="EL34" i="4"/>
  <c r="EL27" i="4"/>
  <c r="EL20" i="4"/>
  <c r="EL23" i="4"/>
  <c r="EM7" i="4"/>
  <c r="EM3" i="4"/>
  <c r="EM1" i="4"/>
  <c r="EL10" i="4"/>
  <c r="EL3" i="4"/>
  <c r="EN7" i="4"/>
  <c r="CP45" i="4"/>
  <c r="CP44" i="4"/>
  <c r="CP38" i="4"/>
  <c r="CP37" i="4"/>
  <c r="CP31" i="4"/>
  <c r="CP30" i="4"/>
  <c r="CP24" i="4"/>
  <c r="CP23" i="4"/>
  <c r="CP48" i="4"/>
  <c r="CP41" i="4"/>
  <c r="CP34" i="4"/>
  <c r="CP17" i="4"/>
  <c r="CP16" i="4"/>
  <c r="CP27" i="4"/>
  <c r="CP10" i="4"/>
  <c r="CP9" i="4"/>
  <c r="CP13" i="4"/>
  <c r="CR7" i="4"/>
  <c r="CP3" i="4"/>
  <c r="CP6" i="4"/>
  <c r="CQ1" i="4"/>
  <c r="CP2" i="4"/>
  <c r="CQ3" i="4"/>
  <c r="CQ5" i="4"/>
  <c r="CQ2" i="4"/>
  <c r="CP20" i="4"/>
  <c r="CG8" i="4"/>
  <c r="CQ7" i="4"/>
  <c r="Z8" i="4"/>
  <c r="Z12" i="4"/>
  <c r="AA14" i="4"/>
  <c r="Z9" i="4"/>
  <c r="Z14" i="4"/>
  <c r="Z10" i="4"/>
  <c r="AB8" i="4"/>
  <c r="HB14" i="4" l="1"/>
  <c r="HA12" i="4"/>
  <c r="HA14" i="4"/>
  <c r="HC8" i="4"/>
  <c r="HA10" i="4"/>
  <c r="HA9" i="4"/>
  <c r="HA8" i="4"/>
  <c r="EF8" i="4"/>
  <c r="ED14" i="4"/>
  <c r="ED12" i="4"/>
  <c r="ED9" i="4"/>
  <c r="ED8" i="4"/>
  <c r="ED10" i="4"/>
  <c r="EE14" i="4"/>
  <c r="CH12" i="4"/>
  <c r="CH9" i="4"/>
  <c r="CH8" i="4"/>
  <c r="CI14" i="4"/>
  <c r="CJ8" i="4"/>
  <c r="CH10" i="4"/>
  <c r="CH14" i="4"/>
  <c r="AD14" i="4"/>
  <c r="AE8" i="4"/>
  <c r="AC8" i="4"/>
  <c r="AC14" i="4"/>
  <c r="AC9" i="4"/>
  <c r="AC12" i="4"/>
  <c r="AC10" i="4"/>
  <c r="HD12" i="4" l="1"/>
  <c r="HF8" i="4"/>
  <c r="HD10" i="4"/>
  <c r="HD9" i="4"/>
  <c r="HD8" i="4"/>
  <c r="HE14" i="4"/>
  <c r="HD14" i="4"/>
  <c r="EH14" i="4"/>
  <c r="EI8" i="4"/>
  <c r="EG14" i="4"/>
  <c r="EG10" i="4"/>
  <c r="EG8" i="4"/>
  <c r="EG12" i="4"/>
  <c r="EG9" i="4"/>
  <c r="CL14" i="4"/>
  <c r="CK12" i="4"/>
  <c r="CK14" i="4"/>
  <c r="CM8" i="4"/>
  <c r="CK10" i="4"/>
  <c r="CK8" i="4"/>
  <c r="CK9" i="4"/>
  <c r="AF12" i="4"/>
  <c r="AF14" i="4"/>
  <c r="AG14" i="4"/>
  <c r="AF10" i="4"/>
  <c r="AF9" i="4"/>
  <c r="AF8" i="4"/>
  <c r="AH8" i="4"/>
  <c r="HH14" i="4" l="1"/>
  <c r="HG14" i="4"/>
  <c r="HG12" i="4"/>
  <c r="GW15" i="4"/>
  <c r="HG10" i="4"/>
  <c r="HG9" i="4"/>
  <c r="HG8" i="4"/>
  <c r="EK14" i="4"/>
  <c r="EJ12" i="4"/>
  <c r="EL8" i="4"/>
  <c r="EJ8" i="4"/>
  <c r="EJ10" i="4"/>
  <c r="EJ9" i="4"/>
  <c r="EJ14" i="4"/>
  <c r="CN12" i="4"/>
  <c r="CP8" i="4"/>
  <c r="CN10" i="4"/>
  <c r="CN9" i="4"/>
  <c r="CN8" i="4"/>
  <c r="CN14" i="4"/>
  <c r="CO14" i="4"/>
  <c r="AI8" i="4"/>
  <c r="AI12" i="4"/>
  <c r="AJ14" i="4"/>
  <c r="AI14" i="4"/>
  <c r="Y15" i="4"/>
  <c r="AI9" i="4"/>
  <c r="AI10" i="4"/>
  <c r="GX19" i="4" l="1"/>
  <c r="GY21" i="4"/>
  <c r="GZ15" i="4"/>
  <c r="GX21" i="4"/>
  <c r="GX17" i="4"/>
  <c r="GX16" i="4"/>
  <c r="GX15" i="4"/>
  <c r="EC15" i="4"/>
  <c r="EM12" i="4"/>
  <c r="EM9" i="4"/>
  <c r="EN14" i="4"/>
  <c r="EM10" i="4"/>
  <c r="EM8" i="4"/>
  <c r="EM14" i="4"/>
  <c r="CG15" i="4"/>
  <c r="CR14" i="4"/>
  <c r="CQ14" i="4"/>
  <c r="CQ10" i="4"/>
  <c r="CQ8" i="4"/>
  <c r="CQ12" i="4"/>
  <c r="CQ9" i="4"/>
  <c r="Z17" i="4"/>
  <c r="Z16" i="4"/>
  <c r="Z19" i="4"/>
  <c r="AB15" i="4"/>
  <c r="Z15" i="4"/>
  <c r="AA21" i="4"/>
  <c r="Z21" i="4"/>
  <c r="HB21" i="4" l="1"/>
  <c r="HA19" i="4"/>
  <c r="HA21" i="4"/>
  <c r="HC15" i="4"/>
  <c r="HA17" i="4"/>
  <c r="HA16" i="4"/>
  <c r="HA15" i="4"/>
  <c r="ED19" i="4"/>
  <c r="EF15" i="4"/>
  <c r="ED15" i="4"/>
  <c r="EE21" i="4"/>
  <c r="ED21" i="4"/>
  <c r="ED16" i="4"/>
  <c r="ED17" i="4"/>
  <c r="CH21" i="4"/>
  <c r="CH19" i="4"/>
  <c r="CH17" i="4"/>
  <c r="CH16" i="4"/>
  <c r="CI21" i="4"/>
  <c r="CJ15" i="4"/>
  <c r="CH15" i="4"/>
  <c r="AC15" i="4"/>
  <c r="AD21" i="4"/>
  <c r="AC21" i="4"/>
  <c r="AC19" i="4"/>
  <c r="AE15" i="4"/>
  <c r="AC17" i="4"/>
  <c r="AC16" i="4"/>
  <c r="HD19" i="4" l="1"/>
  <c r="HF15" i="4"/>
  <c r="HE21" i="4"/>
  <c r="HD17" i="4"/>
  <c r="HD16" i="4"/>
  <c r="HD15" i="4"/>
  <c r="HD21" i="4"/>
  <c r="EI15" i="4"/>
  <c r="EH21" i="4"/>
  <c r="EG19" i="4"/>
  <c r="EG16" i="4"/>
  <c r="EG21" i="4"/>
  <c r="EG15" i="4"/>
  <c r="EG17" i="4"/>
  <c r="CK19" i="4"/>
  <c r="CM15" i="4"/>
  <c r="CL21" i="4"/>
  <c r="CK16" i="4"/>
  <c r="CK21" i="4"/>
  <c r="CK15" i="4"/>
  <c r="CK17" i="4"/>
  <c r="AG21" i="4"/>
  <c r="AH15" i="4"/>
  <c r="AF17" i="4"/>
  <c r="AF15" i="4"/>
  <c r="AF16" i="4"/>
  <c r="AF21" i="4"/>
  <c r="AF19" i="4"/>
  <c r="GW22" i="4" l="1"/>
  <c r="HH21" i="4"/>
  <c r="HG21" i="4"/>
  <c r="HG17" i="4"/>
  <c r="HG16" i="4"/>
  <c r="HG15" i="4"/>
  <c r="HG19" i="4"/>
  <c r="EK21" i="4"/>
  <c r="EJ21" i="4"/>
  <c r="EL15" i="4"/>
  <c r="EJ17" i="4"/>
  <c r="EJ16" i="4"/>
  <c r="EJ15" i="4"/>
  <c r="EJ19" i="4"/>
  <c r="CO21" i="4"/>
  <c r="CN19" i="4"/>
  <c r="CP15" i="4"/>
  <c r="CN17" i="4"/>
  <c r="CN16" i="4"/>
  <c r="CN15" i="4"/>
  <c r="CN21" i="4"/>
  <c r="AJ21" i="4"/>
  <c r="AI16" i="4"/>
  <c r="AI15" i="4"/>
  <c r="AI17" i="4"/>
  <c r="Y22" i="4"/>
  <c r="AI21" i="4"/>
  <c r="AI19" i="4"/>
  <c r="GX26" i="4" l="1"/>
  <c r="GY28" i="4"/>
  <c r="GX28" i="4"/>
  <c r="GZ22" i="4"/>
  <c r="GX24" i="4"/>
  <c r="GX23" i="4"/>
  <c r="GX22" i="4"/>
  <c r="EC22" i="4"/>
  <c r="EM19" i="4"/>
  <c r="EM17" i="4"/>
  <c r="EM16" i="4"/>
  <c r="EM15" i="4"/>
  <c r="EM21" i="4"/>
  <c r="EN21" i="4"/>
  <c r="CG22" i="4"/>
  <c r="CR21" i="4"/>
  <c r="CQ21" i="4"/>
  <c r="CQ17" i="4"/>
  <c r="CQ16" i="4"/>
  <c r="CQ15" i="4"/>
  <c r="CQ19" i="4"/>
  <c r="Z28" i="4"/>
  <c r="Z24" i="4"/>
  <c r="Z22" i="4"/>
  <c r="Z26" i="4"/>
  <c r="AA28" i="4"/>
  <c r="Z23" i="4"/>
  <c r="AB22" i="4"/>
  <c r="HB28" i="4" l="1"/>
  <c r="HA26" i="4"/>
  <c r="HA28" i="4"/>
  <c r="HA24" i="4"/>
  <c r="HC22" i="4"/>
  <c r="HA23" i="4"/>
  <c r="HA22" i="4"/>
  <c r="ED24" i="4"/>
  <c r="EE28" i="4"/>
  <c r="EF22" i="4"/>
  <c r="ED22" i="4"/>
  <c r="ED23" i="4"/>
  <c r="ED26" i="4"/>
  <c r="ED28" i="4"/>
  <c r="CH26" i="4"/>
  <c r="CH24" i="4"/>
  <c r="CJ22" i="4"/>
  <c r="CH22" i="4"/>
  <c r="CI28" i="4"/>
  <c r="CH28" i="4"/>
  <c r="CH23" i="4"/>
  <c r="AE22" i="4"/>
  <c r="AC24" i="4"/>
  <c r="AC23" i="4"/>
  <c r="AC22" i="4"/>
  <c r="AC28" i="4"/>
  <c r="AC26" i="4"/>
  <c r="AD28" i="4"/>
  <c r="HD28" i="4" l="1"/>
  <c r="HD26" i="4"/>
  <c r="HD24" i="4"/>
  <c r="HD23" i="4"/>
  <c r="HE28" i="4"/>
  <c r="HF22" i="4"/>
  <c r="HD22" i="4"/>
  <c r="EG23" i="4"/>
  <c r="EG24" i="4"/>
  <c r="EI22" i="4"/>
  <c r="EG22" i="4"/>
  <c r="EH28" i="4"/>
  <c r="EG28" i="4"/>
  <c r="EG26" i="4"/>
  <c r="CK28" i="4"/>
  <c r="CK22" i="4"/>
  <c r="CK26" i="4"/>
  <c r="CL28" i="4"/>
  <c r="CK23" i="4"/>
  <c r="CK24" i="4"/>
  <c r="CM22" i="4"/>
  <c r="AF23" i="4"/>
  <c r="AF26" i="4"/>
  <c r="AF28" i="4"/>
  <c r="AF24" i="4"/>
  <c r="AF22" i="4"/>
  <c r="AG28" i="4"/>
  <c r="AH22" i="4"/>
  <c r="HG26" i="4" l="1"/>
  <c r="HG24" i="4"/>
  <c r="HG23" i="4"/>
  <c r="HH28" i="4"/>
  <c r="HG28" i="4"/>
  <c r="GW29" i="4"/>
  <c r="HG22" i="4"/>
  <c r="EJ28" i="4"/>
  <c r="EJ26" i="4"/>
  <c r="EJ23" i="4"/>
  <c r="EJ22" i="4"/>
  <c r="EK28" i="4"/>
  <c r="EJ24" i="4"/>
  <c r="EL22" i="4"/>
  <c r="CN28" i="4"/>
  <c r="CN26" i="4"/>
  <c r="CO28" i="4"/>
  <c r="CP22" i="4"/>
  <c r="CN23" i="4"/>
  <c r="CN24" i="4"/>
  <c r="CN22" i="4"/>
  <c r="AI22" i="4"/>
  <c r="AJ28" i="4"/>
  <c r="Y29" i="4"/>
  <c r="AI28" i="4"/>
  <c r="AI24" i="4"/>
  <c r="AI26" i="4"/>
  <c r="AI23" i="4"/>
  <c r="GX33" i="4" l="1"/>
  <c r="GY35" i="4"/>
  <c r="GZ29" i="4"/>
  <c r="GX35" i="4"/>
  <c r="GX30" i="4"/>
  <c r="GX29" i="4"/>
  <c r="GX31" i="4"/>
  <c r="EM26" i="4"/>
  <c r="EM24" i="4"/>
  <c r="EM23" i="4"/>
  <c r="EM22" i="4"/>
  <c r="EN28" i="4"/>
  <c r="EC29" i="4"/>
  <c r="EM28" i="4"/>
  <c r="CQ26" i="4"/>
  <c r="CQ24" i="4"/>
  <c r="CQ23" i="4"/>
  <c r="CQ28" i="4"/>
  <c r="CG29" i="4"/>
  <c r="CR28" i="4"/>
  <c r="CQ22" i="4"/>
  <c r="AB29" i="4"/>
  <c r="Z33" i="4"/>
  <c r="Z35" i="4"/>
  <c r="Z31" i="4"/>
  <c r="Z29" i="4"/>
  <c r="Z30" i="4"/>
  <c r="AA35" i="4"/>
  <c r="HB35" i="4" l="1"/>
  <c r="HA33" i="4"/>
  <c r="HA35" i="4"/>
  <c r="HC29" i="4"/>
  <c r="HA31" i="4"/>
  <c r="HA30" i="4"/>
  <c r="HA29" i="4"/>
  <c r="EE35" i="4"/>
  <c r="ED35" i="4"/>
  <c r="ED29" i="4"/>
  <c r="ED33" i="4"/>
  <c r="EF29" i="4"/>
  <c r="ED31" i="4"/>
  <c r="ED30" i="4"/>
  <c r="CJ29" i="4"/>
  <c r="CI35" i="4"/>
  <c r="CH33" i="4"/>
  <c r="CH30" i="4"/>
  <c r="CH35" i="4"/>
  <c r="CH29" i="4"/>
  <c r="CH31" i="4"/>
  <c r="AC29" i="4"/>
  <c r="AC35" i="4"/>
  <c r="AC33" i="4"/>
  <c r="AC30" i="4"/>
  <c r="AD35" i="4"/>
  <c r="AC31" i="4"/>
  <c r="AE29" i="4"/>
  <c r="HD35" i="4" l="1"/>
  <c r="HD33" i="4"/>
  <c r="HF29" i="4"/>
  <c r="HD31" i="4"/>
  <c r="HD30" i="4"/>
  <c r="HD29" i="4"/>
  <c r="HE35" i="4"/>
  <c r="EG35" i="4"/>
  <c r="EI29" i="4"/>
  <c r="EG31" i="4"/>
  <c r="EG33" i="4"/>
  <c r="EG29" i="4"/>
  <c r="EH35" i="4"/>
  <c r="EG30" i="4"/>
  <c r="CL35" i="4"/>
  <c r="CK31" i="4"/>
  <c r="CK30" i="4"/>
  <c r="CK29" i="4"/>
  <c r="CK35" i="4"/>
  <c r="CK33" i="4"/>
  <c r="CM29" i="4"/>
  <c r="AF31" i="4"/>
  <c r="AF29" i="4"/>
  <c r="AG35" i="4"/>
  <c r="AF35" i="4"/>
  <c r="AF30" i="4"/>
  <c r="AF33" i="4"/>
  <c r="AH29" i="4"/>
  <c r="HG33" i="4" l="1"/>
  <c r="HG31" i="4"/>
  <c r="HG30" i="4"/>
  <c r="HG29" i="4"/>
  <c r="HH35" i="4"/>
  <c r="HG35" i="4"/>
  <c r="GW36" i="4"/>
  <c r="EJ35" i="4"/>
  <c r="EJ33" i="4"/>
  <c r="EL29" i="4"/>
  <c r="EJ31" i="4"/>
  <c r="EJ30" i="4"/>
  <c r="EJ29" i="4"/>
  <c r="EK35" i="4"/>
  <c r="CN35" i="4"/>
  <c r="CN33" i="4"/>
  <c r="CP29" i="4"/>
  <c r="CN30" i="4"/>
  <c r="CO35" i="4"/>
  <c r="CN29" i="4"/>
  <c r="CN31" i="4"/>
  <c r="AJ35" i="4"/>
  <c r="AI30" i="4"/>
  <c r="AI29" i="4"/>
  <c r="AI33" i="4"/>
  <c r="AI31" i="4"/>
  <c r="Y36" i="4"/>
  <c r="AI35" i="4"/>
  <c r="GX40" i="4" l="1"/>
  <c r="GY42" i="4"/>
  <c r="GZ36" i="4"/>
  <c r="GX42" i="4"/>
  <c r="GX38" i="4"/>
  <c r="GX36" i="4"/>
  <c r="GX37" i="4"/>
  <c r="EM33" i="4"/>
  <c r="EM31" i="4"/>
  <c r="EM30" i="4"/>
  <c r="EM29" i="4"/>
  <c r="EC36" i="4"/>
  <c r="EN35" i="4"/>
  <c r="EM35" i="4"/>
  <c r="CQ33" i="4"/>
  <c r="CQ31" i="4"/>
  <c r="CQ30" i="4"/>
  <c r="CQ29" i="4"/>
  <c r="CG36" i="4"/>
  <c r="CQ35" i="4"/>
  <c r="CR35" i="4"/>
  <c r="Z42" i="4"/>
  <c r="Z40" i="4"/>
  <c r="Z38" i="4"/>
  <c r="Z37" i="4"/>
  <c r="Z36" i="4"/>
  <c r="AA42" i="4"/>
  <c r="AB36" i="4"/>
  <c r="HB42" i="4" l="1"/>
  <c r="HA40" i="4"/>
  <c r="HA42" i="4"/>
  <c r="HC36" i="4"/>
  <c r="HA38" i="4"/>
  <c r="HA37" i="4"/>
  <c r="HA36" i="4"/>
  <c r="ED40" i="4"/>
  <c r="ED38" i="4"/>
  <c r="ED36" i="4"/>
  <c r="EE42" i="4"/>
  <c r="ED37" i="4"/>
  <c r="ED42" i="4"/>
  <c r="EF36" i="4"/>
  <c r="CH40" i="4"/>
  <c r="CH38" i="4"/>
  <c r="CH36" i="4"/>
  <c r="CI42" i="4"/>
  <c r="CH42" i="4"/>
  <c r="CH37" i="4"/>
  <c r="CJ36" i="4"/>
  <c r="AD42" i="4"/>
  <c r="AC42" i="4"/>
  <c r="AE36" i="4"/>
  <c r="AC37" i="4"/>
  <c r="AC40" i="4"/>
  <c r="AC38" i="4"/>
  <c r="AC36" i="4"/>
  <c r="HD42" i="4" l="1"/>
  <c r="HD40" i="4"/>
  <c r="HF36" i="4"/>
  <c r="HD38" i="4"/>
  <c r="HD37" i="4"/>
  <c r="HD36" i="4"/>
  <c r="HE42" i="4"/>
  <c r="EG42" i="4"/>
  <c r="EI36" i="4"/>
  <c r="EH42" i="4"/>
  <c r="EG40" i="4"/>
  <c r="EG37" i="4"/>
  <c r="EG36" i="4"/>
  <c r="EG38" i="4"/>
  <c r="CK42" i="4"/>
  <c r="CM36" i="4"/>
  <c r="CL42" i="4"/>
  <c r="CK40" i="4"/>
  <c r="CK38" i="4"/>
  <c r="CK37" i="4"/>
  <c r="CK36" i="4"/>
  <c r="AF37" i="4"/>
  <c r="AF40" i="4"/>
  <c r="AF38" i="4"/>
  <c r="AF36" i="4"/>
  <c r="AG42" i="4"/>
  <c r="AH36" i="4"/>
  <c r="AF42" i="4"/>
  <c r="HG40" i="4" l="1"/>
  <c r="HG38" i="4"/>
  <c r="HG37" i="4"/>
  <c r="HG36" i="4"/>
  <c r="HH42" i="4"/>
  <c r="HG42" i="4"/>
  <c r="GW43" i="4"/>
  <c r="EJ42" i="4"/>
  <c r="EJ40" i="4"/>
  <c r="EL36" i="4"/>
  <c r="EJ37" i="4"/>
  <c r="EK42" i="4"/>
  <c r="EJ36" i="4"/>
  <c r="EJ38" i="4"/>
  <c r="CN42" i="4"/>
  <c r="CN40" i="4"/>
  <c r="CP36" i="4"/>
  <c r="CN37" i="4"/>
  <c r="CN38" i="4"/>
  <c r="CN36" i="4"/>
  <c r="CO42" i="4"/>
  <c r="AI38" i="4"/>
  <c r="Y43" i="4"/>
  <c r="AI36" i="4"/>
  <c r="AI40" i="4"/>
  <c r="AJ42" i="4"/>
  <c r="AI42" i="4"/>
  <c r="AI37" i="4"/>
  <c r="GX47" i="4" l="1"/>
  <c r="GY49" i="4"/>
  <c r="GZ43" i="4"/>
  <c r="GX49" i="4"/>
  <c r="GX45" i="4"/>
  <c r="GX43" i="4"/>
  <c r="GX44" i="4"/>
  <c r="EM40" i="4"/>
  <c r="EM38" i="4"/>
  <c r="EM37" i="4"/>
  <c r="EM36" i="4"/>
  <c r="EC43" i="4"/>
  <c r="EN42" i="4"/>
  <c r="EM42" i="4"/>
  <c r="CQ40" i="4"/>
  <c r="CQ38" i="4"/>
  <c r="CQ37" i="4"/>
  <c r="CQ36" i="4"/>
  <c r="CG43" i="4"/>
  <c r="CQ42" i="4"/>
  <c r="CR42" i="4"/>
  <c r="Z47" i="4"/>
  <c r="Z43" i="4"/>
  <c r="Z49" i="4"/>
  <c r="Z44" i="4"/>
  <c r="AA49" i="4"/>
  <c r="Z45" i="4"/>
  <c r="AB43" i="4"/>
  <c r="HB49" i="4" l="1"/>
  <c r="HA47" i="4"/>
  <c r="HA49" i="4"/>
  <c r="HC43" i="4"/>
  <c r="HA45" i="4"/>
  <c r="HA44" i="4"/>
  <c r="HA43" i="4"/>
  <c r="ED47" i="4"/>
  <c r="EF43" i="4"/>
  <c r="EE49" i="4"/>
  <c r="ED43" i="4"/>
  <c r="ED49" i="4"/>
  <c r="ED45" i="4"/>
  <c r="ED44" i="4"/>
  <c r="CH47" i="4"/>
  <c r="CJ43" i="4"/>
  <c r="CH45" i="4"/>
  <c r="CH43" i="4"/>
  <c r="CH49" i="4"/>
  <c r="CI49" i="4"/>
  <c r="CH44" i="4"/>
  <c r="AD49" i="4"/>
  <c r="AC49" i="4"/>
  <c r="AC45" i="4"/>
  <c r="AE43" i="4"/>
  <c r="AC47" i="4"/>
  <c r="AC44" i="4"/>
  <c r="AC43" i="4"/>
  <c r="HD49" i="4" l="1"/>
  <c r="HD47" i="4"/>
  <c r="HF43" i="4"/>
  <c r="HD45" i="4"/>
  <c r="HD44" i="4"/>
  <c r="HD43" i="4"/>
  <c r="HE49" i="4"/>
  <c r="EG49" i="4"/>
  <c r="EI43" i="4"/>
  <c r="EG47" i="4"/>
  <c r="EG45" i="4"/>
  <c r="EG43" i="4"/>
  <c r="EG44" i="4"/>
  <c r="EH49" i="4"/>
  <c r="CK49" i="4"/>
  <c r="CM43" i="4"/>
  <c r="CK47" i="4"/>
  <c r="CK45" i="4"/>
  <c r="CK43" i="4"/>
  <c r="CL49" i="4"/>
  <c r="CK44" i="4"/>
  <c r="AF45" i="4"/>
  <c r="AF43" i="4"/>
  <c r="AF49" i="4"/>
  <c r="AH43" i="4"/>
  <c r="AF44" i="4"/>
  <c r="AF47" i="4"/>
  <c r="AG49" i="4"/>
  <c r="HG47" i="4" l="1"/>
  <c r="HG45" i="4"/>
  <c r="HG44" i="4"/>
  <c r="HG43" i="4"/>
  <c r="HH49" i="4"/>
  <c r="HG49" i="4"/>
  <c r="HI1" i="4"/>
  <c r="EJ49" i="4"/>
  <c r="EJ47" i="4"/>
  <c r="EL43" i="4"/>
  <c r="EK49" i="4"/>
  <c r="EJ45" i="4"/>
  <c r="EJ44" i="4"/>
  <c r="EJ43" i="4"/>
  <c r="CN49" i="4"/>
  <c r="CN47" i="4"/>
  <c r="CP43" i="4"/>
  <c r="CO49" i="4"/>
  <c r="CN44" i="4"/>
  <c r="CN43" i="4"/>
  <c r="CN45" i="4"/>
  <c r="AI44" i="4"/>
  <c r="AI43" i="4"/>
  <c r="AI47" i="4"/>
  <c r="AI49" i="4"/>
  <c r="AI45" i="4"/>
  <c r="AJ49" i="4"/>
  <c r="HI49" i="4" l="1"/>
  <c r="HI42" i="4"/>
  <c r="HI35" i="4"/>
  <c r="HI28" i="4"/>
  <c r="HI46" i="4"/>
  <c r="HI39" i="4"/>
  <c r="HI32" i="4"/>
  <c r="HI25" i="4"/>
  <c r="HI45" i="4"/>
  <c r="HI44" i="4"/>
  <c r="HI38" i="4"/>
  <c r="HI37" i="4"/>
  <c r="HI31" i="4"/>
  <c r="HI30" i="4"/>
  <c r="HI24" i="4"/>
  <c r="HI23" i="4"/>
  <c r="HK7" i="4"/>
  <c r="HL1" i="4"/>
  <c r="HJ7" i="4"/>
  <c r="HJ3" i="4"/>
  <c r="HJ2" i="4"/>
  <c r="HJ1" i="4"/>
  <c r="HI21" i="4"/>
  <c r="HI14" i="4"/>
  <c r="HJ5" i="4"/>
  <c r="HI3" i="4"/>
  <c r="HI2" i="4"/>
  <c r="HI18" i="4"/>
  <c r="HI11" i="4"/>
  <c r="HI17" i="4"/>
  <c r="HI16" i="4"/>
  <c r="HI10" i="4"/>
  <c r="HI9" i="4"/>
  <c r="HI4" i="4"/>
  <c r="EM47" i="4"/>
  <c r="EM45" i="4"/>
  <c r="EM44" i="4"/>
  <c r="EM43" i="4"/>
  <c r="EN49" i="4"/>
  <c r="EM49" i="4"/>
  <c r="EO1" i="4"/>
  <c r="CQ47" i="4"/>
  <c r="CQ45" i="4"/>
  <c r="CQ44" i="4"/>
  <c r="CQ43" i="4"/>
  <c r="CR49" i="4"/>
  <c r="CQ49" i="4"/>
  <c r="CS1" i="4"/>
  <c r="HL28" i="4" l="1"/>
  <c r="HO28" i="4"/>
  <c r="HR28" i="4" s="1"/>
  <c r="HO21" i="4"/>
  <c r="HR21" i="4" s="1"/>
  <c r="HL21" i="4"/>
  <c r="HL35" i="4"/>
  <c r="HO35" i="4"/>
  <c r="HR35" i="4" s="1"/>
  <c r="HL48" i="4"/>
  <c r="HL41" i="4"/>
  <c r="HL34" i="4"/>
  <c r="HL27" i="4"/>
  <c r="HL45" i="4"/>
  <c r="HL44" i="4"/>
  <c r="HL38" i="4"/>
  <c r="HL37" i="4"/>
  <c r="HL31" i="4"/>
  <c r="HL30" i="4"/>
  <c r="HL24" i="4"/>
  <c r="HL23" i="4"/>
  <c r="HL3" i="4"/>
  <c r="HL2" i="4"/>
  <c r="HL20" i="4"/>
  <c r="HL13" i="4"/>
  <c r="HM5" i="4"/>
  <c r="HL17" i="4"/>
  <c r="HL16" i="4"/>
  <c r="HL10" i="4"/>
  <c r="HL9" i="4"/>
  <c r="HN7" i="4"/>
  <c r="HL6" i="4"/>
  <c r="HM1" i="4"/>
  <c r="HM3" i="4"/>
  <c r="HM2" i="4"/>
  <c r="HM7" i="4"/>
  <c r="HO1" i="4"/>
  <c r="HL42" i="4"/>
  <c r="HO42" i="4"/>
  <c r="HR42" i="4" s="1"/>
  <c r="HO14" i="4"/>
  <c r="HR14" i="4" s="1"/>
  <c r="HL14" i="4"/>
  <c r="HL49" i="4"/>
  <c r="HO49" i="4"/>
  <c r="HR49" i="4" s="1"/>
  <c r="EO49" i="4"/>
  <c r="EO42" i="4"/>
  <c r="EO35" i="4"/>
  <c r="EO37" i="4"/>
  <c r="EO17" i="4"/>
  <c r="EO16" i="4"/>
  <c r="EO10" i="4"/>
  <c r="EO9" i="4"/>
  <c r="EO28" i="4"/>
  <c r="EO45" i="4"/>
  <c r="EO31" i="4"/>
  <c r="EO4" i="4"/>
  <c r="ER1" i="4"/>
  <c r="EO46" i="4"/>
  <c r="EO38" i="4"/>
  <c r="EO32" i="4"/>
  <c r="EO14" i="4"/>
  <c r="EQ7" i="4"/>
  <c r="EP3" i="4"/>
  <c r="EP1" i="4"/>
  <c r="EO21" i="4"/>
  <c r="EP5" i="4"/>
  <c r="EO25" i="4"/>
  <c r="EO23" i="4"/>
  <c r="EP7" i="4"/>
  <c r="EO44" i="4"/>
  <c r="EO30" i="4"/>
  <c r="EO3" i="4"/>
  <c r="EO24" i="4"/>
  <c r="EO39" i="4"/>
  <c r="EP2" i="4"/>
  <c r="EO18" i="4"/>
  <c r="EO2" i="4"/>
  <c r="EO11" i="4"/>
  <c r="CS49" i="4"/>
  <c r="CS42" i="4"/>
  <c r="CS37" i="4"/>
  <c r="CS24" i="4"/>
  <c r="CS23" i="4"/>
  <c r="CS17" i="4"/>
  <c r="CS16" i="4"/>
  <c r="CS44" i="4"/>
  <c r="CS35" i="4"/>
  <c r="CS31" i="4"/>
  <c r="CS30" i="4"/>
  <c r="CS46" i="4"/>
  <c r="CS25" i="4"/>
  <c r="CS18" i="4"/>
  <c r="CS28" i="4"/>
  <c r="CU7" i="4"/>
  <c r="CT7" i="4"/>
  <c r="CT3" i="4"/>
  <c r="CT2" i="4"/>
  <c r="CS45" i="4"/>
  <c r="CS39" i="4"/>
  <c r="CS14" i="4"/>
  <c r="CS11" i="4"/>
  <c r="CS10" i="4"/>
  <c r="CT1" i="4"/>
  <c r="CS9" i="4"/>
  <c r="CS21" i="4"/>
  <c r="CV1" i="4"/>
  <c r="CT5" i="4"/>
  <c r="CS2" i="4"/>
  <c r="CS32" i="4"/>
  <c r="CS4" i="4"/>
  <c r="CS3" i="4"/>
  <c r="CS38" i="4"/>
  <c r="HO48" i="4" l="1"/>
  <c r="HO41" i="4"/>
  <c r="HO34" i="4"/>
  <c r="HO27" i="4"/>
  <c r="HO45" i="4"/>
  <c r="HO44" i="4"/>
  <c r="HO38" i="4"/>
  <c r="HO37" i="4"/>
  <c r="HO31" i="4"/>
  <c r="HO30" i="4"/>
  <c r="HO24" i="4"/>
  <c r="HO23" i="4"/>
  <c r="HO20" i="4"/>
  <c r="HO13" i="4"/>
  <c r="HP5" i="4"/>
  <c r="HO17" i="4"/>
  <c r="HO16" i="4"/>
  <c r="HO10" i="4"/>
  <c r="HO9" i="4"/>
  <c r="HQ7" i="4"/>
  <c r="HP7" i="4"/>
  <c r="HO6" i="4"/>
  <c r="HR1" i="4"/>
  <c r="HP3" i="4"/>
  <c r="HP2" i="4"/>
  <c r="HP1" i="4"/>
  <c r="HO3" i="4"/>
  <c r="HO2" i="4"/>
  <c r="ER44" i="4"/>
  <c r="ES7" i="4"/>
  <c r="EU1" i="4"/>
  <c r="ER24" i="4"/>
  <c r="ER41" i="4"/>
  <c r="ER38" i="4"/>
  <c r="ER37" i="4"/>
  <c r="ET7" i="4"/>
  <c r="ES3" i="4"/>
  <c r="ES1" i="4"/>
  <c r="ER30" i="4"/>
  <c r="ER3" i="4"/>
  <c r="ER34" i="4"/>
  <c r="ER31" i="4"/>
  <c r="ER23" i="4"/>
  <c r="ER6" i="4"/>
  <c r="ER27" i="4"/>
  <c r="ER20" i="4"/>
  <c r="ER10" i="4"/>
  <c r="ER48" i="4"/>
  <c r="ER45" i="4"/>
  <c r="ER16" i="4"/>
  <c r="ES2" i="4"/>
  <c r="ER2" i="4"/>
  <c r="ER17" i="4"/>
  <c r="ER9" i="4"/>
  <c r="ES5" i="4"/>
  <c r="ER13" i="4"/>
  <c r="ER35" i="4"/>
  <c r="EU35" i="4"/>
  <c r="EX35" i="4" s="1"/>
  <c r="ER21" i="4"/>
  <c r="EU21" i="4"/>
  <c r="EX21" i="4" s="1"/>
  <c r="ER42" i="4"/>
  <c r="EU42" i="4"/>
  <c r="EX42" i="4" s="1"/>
  <c r="ER14" i="4"/>
  <c r="EU14" i="4"/>
  <c r="EX14" i="4" s="1"/>
  <c r="ER28" i="4"/>
  <c r="EU28" i="4"/>
  <c r="EX28" i="4" s="1"/>
  <c r="ER49" i="4"/>
  <c r="EU49" i="4"/>
  <c r="EX49" i="4" s="1"/>
  <c r="CV44" i="4"/>
  <c r="CV34" i="4"/>
  <c r="CV31" i="4"/>
  <c r="CV30" i="4"/>
  <c r="CV37" i="4"/>
  <c r="CV48" i="4"/>
  <c r="CV45" i="4"/>
  <c r="CV13" i="4"/>
  <c r="CW5" i="4"/>
  <c r="CV41" i="4"/>
  <c r="CV27" i="4"/>
  <c r="CV23" i="4"/>
  <c r="CV24" i="4"/>
  <c r="CW2" i="4"/>
  <c r="CV6" i="4"/>
  <c r="CV2" i="4"/>
  <c r="CW3" i="4"/>
  <c r="CY1" i="4"/>
  <c r="CV9" i="4"/>
  <c r="CV3" i="4"/>
  <c r="CV38" i="4"/>
  <c r="CV10" i="4"/>
  <c r="CW1" i="4"/>
  <c r="CV16" i="4"/>
  <c r="CV17" i="4"/>
  <c r="CX7" i="4"/>
  <c r="CV20" i="4"/>
  <c r="CW7" i="4"/>
  <c r="CV14" i="4"/>
  <c r="CY14" i="4"/>
  <c r="DB14" i="4" s="1"/>
  <c r="CY21" i="4"/>
  <c r="DB21" i="4" s="1"/>
  <c r="CV21" i="4"/>
  <c r="CV28" i="4"/>
  <c r="CY28" i="4"/>
  <c r="DB28" i="4" s="1"/>
  <c r="CV42" i="4"/>
  <c r="CY42" i="4"/>
  <c r="DB42" i="4" s="1"/>
  <c r="CV35" i="4"/>
  <c r="CY35" i="4"/>
  <c r="DB35" i="4" s="1"/>
  <c r="CV49" i="4"/>
  <c r="CY49" i="4"/>
  <c r="DB49" i="4" s="1"/>
  <c r="HR48" i="4" l="1"/>
  <c r="HR41" i="4"/>
  <c r="HR34" i="4"/>
  <c r="HR27" i="4"/>
  <c r="HR45" i="4"/>
  <c r="HR44" i="4"/>
  <c r="HR38" i="4"/>
  <c r="HR37" i="4"/>
  <c r="HR31" i="4"/>
  <c r="HR30" i="4"/>
  <c r="HR24" i="4"/>
  <c r="HR23" i="4"/>
  <c r="HR17" i="4"/>
  <c r="HR16" i="4"/>
  <c r="HR10" i="4"/>
  <c r="HR9" i="4"/>
  <c r="HS7" i="4"/>
  <c r="HR6" i="4"/>
  <c r="HS3" i="4"/>
  <c r="HS2" i="4"/>
  <c r="HS1" i="4"/>
  <c r="HR3" i="4"/>
  <c r="HR2" i="4"/>
  <c r="HR20" i="4"/>
  <c r="HS5" i="4"/>
  <c r="HT7" i="4"/>
  <c r="HR13" i="4"/>
  <c r="HI8" i="4"/>
  <c r="EU48" i="4"/>
  <c r="EU41" i="4"/>
  <c r="EU34" i="4"/>
  <c r="EU27" i="4"/>
  <c r="EU45" i="4"/>
  <c r="EU44" i="4"/>
  <c r="EU38" i="4"/>
  <c r="EU37" i="4"/>
  <c r="EU23" i="4"/>
  <c r="EU3" i="4"/>
  <c r="EU2" i="4"/>
  <c r="EU24" i="4"/>
  <c r="EU10" i="4"/>
  <c r="EU20" i="4"/>
  <c r="EU6" i="4"/>
  <c r="EU16" i="4"/>
  <c r="EU17" i="4"/>
  <c r="EU30" i="4"/>
  <c r="EU9" i="4"/>
  <c r="EV5" i="4"/>
  <c r="EW7" i="4"/>
  <c r="EU31" i="4"/>
  <c r="EV2" i="4"/>
  <c r="EV7" i="4"/>
  <c r="EX1" i="4"/>
  <c r="EU13" i="4"/>
  <c r="EV1" i="4"/>
  <c r="EV3" i="4"/>
  <c r="CY48" i="4"/>
  <c r="CY41" i="4"/>
  <c r="CY34" i="4"/>
  <c r="CY27" i="4"/>
  <c r="CY45" i="4"/>
  <c r="CY44" i="4"/>
  <c r="CY38" i="4"/>
  <c r="CY37" i="4"/>
  <c r="CY31" i="4"/>
  <c r="CY30" i="4"/>
  <c r="CY20" i="4"/>
  <c r="CY24" i="4"/>
  <c r="CY23" i="4"/>
  <c r="CY13" i="4"/>
  <c r="CZ5" i="4"/>
  <c r="CY10" i="4"/>
  <c r="CY9" i="4"/>
  <c r="DA7" i="4"/>
  <c r="CY6" i="4"/>
  <c r="CY17" i="4"/>
  <c r="CZ7" i="4"/>
  <c r="CY2" i="4"/>
  <c r="CZ3" i="4"/>
  <c r="CZ1" i="4"/>
  <c r="CZ2" i="4"/>
  <c r="CY3" i="4"/>
  <c r="DB1" i="4"/>
  <c r="CY16" i="4"/>
  <c r="HK14" i="4" l="1"/>
  <c r="HJ14" i="4"/>
  <c r="HL8" i="4"/>
  <c r="HJ10" i="4"/>
  <c r="HJ9" i="4"/>
  <c r="HJ8" i="4"/>
  <c r="HJ12" i="4"/>
  <c r="EX48" i="4"/>
  <c r="EX41" i="4"/>
  <c r="EX34" i="4"/>
  <c r="EX27" i="4"/>
  <c r="EX45" i="4"/>
  <c r="EX44" i="4"/>
  <c r="EX38" i="4"/>
  <c r="EX37" i="4"/>
  <c r="EX31" i="4"/>
  <c r="EX30" i="4"/>
  <c r="EX24" i="4"/>
  <c r="EO8" i="4"/>
  <c r="EX20" i="4"/>
  <c r="EX6" i="4"/>
  <c r="EY2" i="4"/>
  <c r="EX23" i="4"/>
  <c r="EX17" i="4"/>
  <c r="EZ7" i="4"/>
  <c r="EX2" i="4"/>
  <c r="EX16" i="4"/>
  <c r="EX13" i="4"/>
  <c r="EX10" i="4"/>
  <c r="EX9" i="4"/>
  <c r="EY3" i="4"/>
  <c r="EX3" i="4"/>
  <c r="EY7" i="4"/>
  <c r="EY1" i="4"/>
  <c r="EY5" i="4"/>
  <c r="DB48" i="4"/>
  <c r="DB41" i="4"/>
  <c r="DB34" i="4"/>
  <c r="DB27" i="4"/>
  <c r="DB45" i="4"/>
  <c r="DB44" i="4"/>
  <c r="DB38" i="4"/>
  <c r="DB37" i="4"/>
  <c r="DB31" i="4"/>
  <c r="DB30" i="4"/>
  <c r="DB24" i="4"/>
  <c r="DB23" i="4"/>
  <c r="DB17" i="4"/>
  <c r="DB16" i="4"/>
  <c r="DB10" i="4"/>
  <c r="DB9" i="4"/>
  <c r="DC7" i="4"/>
  <c r="DB20" i="4"/>
  <c r="DB13" i="4"/>
  <c r="CS8" i="4"/>
  <c r="DD7" i="4"/>
  <c r="DC3" i="4"/>
  <c r="DC5" i="4"/>
  <c r="DB3" i="4"/>
  <c r="DC2" i="4"/>
  <c r="DB2" i="4"/>
  <c r="DC1" i="4"/>
  <c r="DB6" i="4"/>
  <c r="HO8" i="4" l="1"/>
  <c r="HM10" i="4"/>
  <c r="HM9" i="4"/>
  <c r="HM8" i="4"/>
  <c r="HN14" i="4"/>
  <c r="HM12" i="4"/>
  <c r="HM14" i="4"/>
  <c r="EP12" i="4"/>
  <c r="EQ14" i="4"/>
  <c r="EP9" i="4"/>
  <c r="EP14" i="4"/>
  <c r="EP10" i="4"/>
  <c r="EP8" i="4"/>
  <c r="ER8" i="4"/>
  <c r="CU14" i="4"/>
  <c r="CT14" i="4"/>
  <c r="CV8" i="4"/>
  <c r="CT10" i="4"/>
  <c r="CT12" i="4"/>
  <c r="CT9" i="4"/>
  <c r="CT8" i="4"/>
  <c r="HR8" i="4" l="1"/>
  <c r="HP10" i="4"/>
  <c r="HP9" i="4"/>
  <c r="HP8" i="4"/>
  <c r="HQ14" i="4"/>
  <c r="HP14" i="4"/>
  <c r="HP12" i="4"/>
  <c r="ES14" i="4"/>
  <c r="EU8" i="4"/>
  <c r="ES10" i="4"/>
  <c r="ES8" i="4"/>
  <c r="ET14" i="4"/>
  <c r="ES9" i="4"/>
  <c r="ES12" i="4"/>
  <c r="CW14" i="4"/>
  <c r="CX14" i="4"/>
  <c r="CY8" i="4"/>
  <c r="CW12" i="4"/>
  <c r="CW9" i="4"/>
  <c r="CW10" i="4"/>
  <c r="CW8" i="4"/>
  <c r="HS14" i="4" l="1"/>
  <c r="HS12" i="4"/>
  <c r="HT14" i="4"/>
  <c r="HI15" i="4"/>
  <c r="HS9" i="4"/>
  <c r="HS10" i="4"/>
  <c r="HS8" i="4"/>
  <c r="EV10" i="4"/>
  <c r="EV8" i="4"/>
  <c r="EV9" i="4"/>
  <c r="EX8" i="4"/>
  <c r="EW14" i="4"/>
  <c r="EV12" i="4"/>
  <c r="EV14" i="4"/>
  <c r="DB8" i="4"/>
  <c r="CZ10" i="4"/>
  <c r="CZ9" i="4"/>
  <c r="CZ8" i="4"/>
  <c r="CZ14" i="4"/>
  <c r="DA14" i="4"/>
  <c r="CZ12" i="4"/>
  <c r="HK21" i="4" l="1"/>
  <c r="HJ21" i="4"/>
  <c r="HL15" i="4"/>
  <c r="HJ17" i="4"/>
  <c r="HJ16" i="4"/>
  <c r="HJ15" i="4"/>
  <c r="HJ19" i="4"/>
  <c r="EO15" i="4"/>
  <c r="EZ14" i="4"/>
  <c r="EY14" i="4"/>
  <c r="EY9" i="4"/>
  <c r="EY10" i="4"/>
  <c r="EY8" i="4"/>
  <c r="EY12" i="4"/>
  <c r="CS15" i="4"/>
  <c r="DC14" i="4"/>
  <c r="DD14" i="4"/>
  <c r="DC9" i="4"/>
  <c r="DC10" i="4"/>
  <c r="DC8" i="4"/>
  <c r="DC12" i="4"/>
  <c r="HO15" i="4" l="1"/>
  <c r="HM17" i="4"/>
  <c r="HM16" i="4"/>
  <c r="HM15" i="4"/>
  <c r="HM21" i="4"/>
  <c r="HN21" i="4"/>
  <c r="HM19" i="4"/>
  <c r="EP19" i="4"/>
  <c r="ER15" i="4"/>
  <c r="EP15" i="4"/>
  <c r="EP17" i="4"/>
  <c r="EQ21" i="4"/>
  <c r="EP21" i="4"/>
  <c r="EP16" i="4"/>
  <c r="CT19" i="4"/>
  <c r="CU21" i="4"/>
  <c r="CT17" i="4"/>
  <c r="CT16" i="4"/>
  <c r="CT15" i="4"/>
  <c r="CT21" i="4"/>
  <c r="CV15" i="4"/>
  <c r="HR15" i="4" l="1"/>
  <c r="HP17" i="4"/>
  <c r="HP16" i="4"/>
  <c r="HP15" i="4"/>
  <c r="HQ21" i="4"/>
  <c r="HP21" i="4"/>
  <c r="HP19" i="4"/>
  <c r="ES21" i="4"/>
  <c r="ES19" i="4"/>
  <c r="ES15" i="4"/>
  <c r="ES16" i="4"/>
  <c r="ES17" i="4"/>
  <c r="ET21" i="4"/>
  <c r="EU15" i="4"/>
  <c r="CW21" i="4"/>
  <c r="CY15" i="4"/>
  <c r="CX21" i="4"/>
  <c r="CW19" i="4"/>
  <c r="CW17" i="4"/>
  <c r="CW15" i="4"/>
  <c r="CW16" i="4"/>
  <c r="HS21" i="4" l="1"/>
  <c r="HS19" i="4"/>
  <c r="HI22" i="4"/>
  <c r="HT21" i="4"/>
  <c r="HS17" i="4"/>
  <c r="HS16" i="4"/>
  <c r="HS15" i="4"/>
  <c r="EW21" i="4"/>
  <c r="EV21" i="4"/>
  <c r="EX15" i="4"/>
  <c r="EV17" i="4"/>
  <c r="EV15" i="4"/>
  <c r="EV16" i="4"/>
  <c r="EV19" i="4"/>
  <c r="DB15" i="4"/>
  <c r="DA21" i="4"/>
  <c r="CZ21" i="4"/>
  <c r="CZ17" i="4"/>
  <c r="CZ15" i="4"/>
  <c r="CZ19" i="4"/>
  <c r="CZ16" i="4"/>
  <c r="HK28" i="4" l="1"/>
  <c r="HJ28" i="4"/>
  <c r="HJ26" i="4"/>
  <c r="HJ23" i="4"/>
  <c r="HJ24" i="4"/>
  <c r="HL22" i="4"/>
  <c r="HJ22" i="4"/>
  <c r="EO22" i="4"/>
  <c r="EZ21" i="4"/>
  <c r="EY17" i="4"/>
  <c r="EY16" i="4"/>
  <c r="EY15" i="4"/>
  <c r="EY21" i="4"/>
  <c r="EY19" i="4"/>
  <c r="CS22" i="4"/>
  <c r="DC21" i="4"/>
  <c r="DC17" i="4"/>
  <c r="DC16" i="4"/>
  <c r="DC15" i="4"/>
  <c r="DC19" i="4"/>
  <c r="DD21" i="4"/>
  <c r="HM24" i="4" l="1"/>
  <c r="HM28" i="4"/>
  <c r="HM23" i="4"/>
  <c r="HM26" i="4"/>
  <c r="HN28" i="4"/>
  <c r="HO22" i="4"/>
  <c r="HM22" i="4"/>
  <c r="EQ28" i="4"/>
  <c r="EP28" i="4"/>
  <c r="EP26" i="4"/>
  <c r="EP24" i="4"/>
  <c r="ER22" i="4"/>
  <c r="EP23" i="4"/>
  <c r="EP22" i="4"/>
  <c r="CU28" i="4"/>
  <c r="CT28" i="4"/>
  <c r="CT26" i="4"/>
  <c r="CV22" i="4"/>
  <c r="CT23" i="4"/>
  <c r="CT22" i="4"/>
  <c r="CT24" i="4"/>
  <c r="HP24" i="4" l="1"/>
  <c r="HP23" i="4"/>
  <c r="HP22" i="4"/>
  <c r="HQ28" i="4"/>
  <c r="HP28" i="4"/>
  <c r="HP26" i="4"/>
  <c r="HR22" i="4"/>
  <c r="ES26" i="4"/>
  <c r="ES24" i="4"/>
  <c r="ES23" i="4"/>
  <c r="EU22" i="4"/>
  <c r="ES22" i="4"/>
  <c r="ET28" i="4"/>
  <c r="ES28" i="4"/>
  <c r="CW28" i="4"/>
  <c r="CW26" i="4"/>
  <c r="CY22" i="4"/>
  <c r="CW23" i="4"/>
  <c r="CW22" i="4"/>
  <c r="CW24" i="4"/>
  <c r="CX28" i="4"/>
  <c r="HT28" i="4" l="1"/>
  <c r="HS24" i="4"/>
  <c r="HS23" i="4"/>
  <c r="HS22" i="4"/>
  <c r="HS28" i="4"/>
  <c r="HS26" i="4"/>
  <c r="HI29" i="4"/>
  <c r="EV24" i="4"/>
  <c r="EV28" i="4"/>
  <c r="EX22" i="4"/>
  <c r="EV26" i="4"/>
  <c r="EV22" i="4"/>
  <c r="EW28" i="4"/>
  <c r="EV23" i="4"/>
  <c r="DB22" i="4"/>
  <c r="DA28" i="4"/>
  <c r="CZ26" i="4"/>
  <c r="CZ22" i="4"/>
  <c r="CZ23" i="4"/>
  <c r="CZ24" i="4"/>
  <c r="CZ28" i="4"/>
  <c r="HK35" i="4" l="1"/>
  <c r="HJ35" i="4"/>
  <c r="HL29" i="4"/>
  <c r="HJ33" i="4"/>
  <c r="HJ31" i="4"/>
  <c r="HJ29" i="4"/>
  <c r="HJ30" i="4"/>
  <c r="EZ28" i="4"/>
  <c r="EY24" i="4"/>
  <c r="EY23" i="4"/>
  <c r="EY22" i="4"/>
  <c r="EY28" i="4"/>
  <c r="EY26" i="4"/>
  <c r="EO29" i="4"/>
  <c r="DD28" i="4"/>
  <c r="DC24" i="4"/>
  <c r="DC23" i="4"/>
  <c r="DC22" i="4"/>
  <c r="DC28" i="4"/>
  <c r="CS29" i="4"/>
  <c r="DC26" i="4"/>
  <c r="HO29" i="4" l="1"/>
  <c r="HM31" i="4"/>
  <c r="HM30" i="4"/>
  <c r="HM29" i="4"/>
  <c r="HM35" i="4"/>
  <c r="HM33" i="4"/>
  <c r="HN35" i="4"/>
  <c r="EQ35" i="4"/>
  <c r="EP35" i="4"/>
  <c r="EP31" i="4"/>
  <c r="EP30" i="4"/>
  <c r="ER29" i="4"/>
  <c r="EP33" i="4"/>
  <c r="EP29" i="4"/>
  <c r="CU35" i="4"/>
  <c r="CT33" i="4"/>
  <c r="CV29" i="4"/>
  <c r="CT31" i="4"/>
  <c r="CT29" i="4"/>
  <c r="CT35" i="4"/>
  <c r="CT30" i="4"/>
  <c r="HR29" i="4" l="1"/>
  <c r="HP31" i="4"/>
  <c r="HP30" i="4"/>
  <c r="HP29" i="4"/>
  <c r="HQ35" i="4"/>
  <c r="HP35" i="4"/>
  <c r="HP33" i="4"/>
  <c r="ES35" i="4"/>
  <c r="ES30" i="4"/>
  <c r="EU29" i="4"/>
  <c r="ES33" i="4"/>
  <c r="ES29" i="4"/>
  <c r="ES31" i="4"/>
  <c r="ET35" i="4"/>
  <c r="CX35" i="4"/>
  <c r="CW35" i="4"/>
  <c r="CY29" i="4"/>
  <c r="CW33" i="4"/>
  <c r="CW31" i="4"/>
  <c r="CW29" i="4"/>
  <c r="CW30" i="4"/>
  <c r="HT35" i="4" l="1"/>
  <c r="HS31" i="4"/>
  <c r="HS30" i="4"/>
  <c r="HS29" i="4"/>
  <c r="HS35" i="4"/>
  <c r="HS33" i="4"/>
  <c r="HI36" i="4"/>
  <c r="EX29" i="4"/>
  <c r="EW35" i="4"/>
  <c r="EV29" i="4"/>
  <c r="EV33" i="4"/>
  <c r="EV30" i="4"/>
  <c r="EV35" i="4"/>
  <c r="EV31" i="4"/>
  <c r="DB29" i="4"/>
  <c r="CZ31" i="4"/>
  <c r="CZ30" i="4"/>
  <c r="CZ29" i="4"/>
  <c r="CZ33" i="4"/>
  <c r="DA35" i="4"/>
  <c r="CZ35" i="4"/>
  <c r="HK42" i="4" l="1"/>
  <c r="HJ42" i="4"/>
  <c r="HL36" i="4"/>
  <c r="HJ40" i="4"/>
  <c r="HJ38" i="4"/>
  <c r="HJ36" i="4"/>
  <c r="HJ37" i="4"/>
  <c r="EZ35" i="4"/>
  <c r="EY31" i="4"/>
  <c r="EY30" i="4"/>
  <c r="EY29" i="4"/>
  <c r="EY35" i="4"/>
  <c r="EO36" i="4"/>
  <c r="EY33" i="4"/>
  <c r="DD35" i="4"/>
  <c r="DC31" i="4"/>
  <c r="DC30" i="4"/>
  <c r="DC29" i="4"/>
  <c r="DC35" i="4"/>
  <c r="DC33" i="4"/>
  <c r="CS36" i="4"/>
  <c r="HO36" i="4" l="1"/>
  <c r="HM38" i="4"/>
  <c r="HM37" i="4"/>
  <c r="HM36" i="4"/>
  <c r="HM42" i="4"/>
  <c r="HN42" i="4"/>
  <c r="HM40" i="4"/>
  <c r="EQ42" i="4"/>
  <c r="EP38" i="4"/>
  <c r="EP37" i="4"/>
  <c r="EP42" i="4"/>
  <c r="EP40" i="4"/>
  <c r="ER36" i="4"/>
  <c r="EP36" i="4"/>
  <c r="CU42" i="4"/>
  <c r="CT42" i="4"/>
  <c r="CT38" i="4"/>
  <c r="CT36" i="4"/>
  <c r="CT40" i="4"/>
  <c r="CT37" i="4"/>
  <c r="CV36" i="4"/>
  <c r="HR36" i="4" l="1"/>
  <c r="HP38" i="4"/>
  <c r="HP37" i="4"/>
  <c r="HP36" i="4"/>
  <c r="HQ42" i="4"/>
  <c r="HP42" i="4"/>
  <c r="HP40" i="4"/>
  <c r="EU36" i="4"/>
  <c r="ET42" i="4"/>
  <c r="ES38" i="4"/>
  <c r="ES36" i="4"/>
  <c r="ES42" i="4"/>
  <c r="ES40" i="4"/>
  <c r="ES37" i="4"/>
  <c r="CY36" i="4"/>
  <c r="CX42" i="4"/>
  <c r="CW38" i="4"/>
  <c r="CW36" i="4"/>
  <c r="CW42" i="4"/>
  <c r="CW37" i="4"/>
  <c r="CW40" i="4"/>
  <c r="HT42" i="4" l="1"/>
  <c r="HS38" i="4"/>
  <c r="HS37" i="4"/>
  <c r="HS36" i="4"/>
  <c r="HS42" i="4"/>
  <c r="HS40" i="4"/>
  <c r="HI43" i="4"/>
  <c r="EX36" i="4"/>
  <c r="EW42" i="4"/>
  <c r="EV38" i="4"/>
  <c r="EV36" i="4"/>
  <c r="EV42" i="4"/>
  <c r="EV40" i="4"/>
  <c r="EV37" i="4"/>
  <c r="DB36" i="4"/>
  <c r="DA42" i="4"/>
  <c r="CZ38" i="4"/>
  <c r="CZ36" i="4"/>
  <c r="CZ40" i="4"/>
  <c r="CZ42" i="4"/>
  <c r="CZ37" i="4"/>
  <c r="HK49" i="4" l="1"/>
  <c r="HJ49" i="4"/>
  <c r="HL43" i="4"/>
  <c r="HJ47" i="4"/>
  <c r="HJ45" i="4"/>
  <c r="HJ43" i="4"/>
  <c r="HJ44" i="4"/>
  <c r="EZ42" i="4"/>
  <c r="EY38" i="4"/>
  <c r="EY37" i="4"/>
  <c r="EY36" i="4"/>
  <c r="EY42" i="4"/>
  <c r="EY40" i="4"/>
  <c r="EO43" i="4"/>
  <c r="DD42" i="4"/>
  <c r="DC38" i="4"/>
  <c r="DC37" i="4"/>
  <c r="DC36" i="4"/>
  <c r="DC42" i="4"/>
  <c r="CS43" i="4"/>
  <c r="DC40" i="4"/>
  <c r="HO43" i="4" l="1"/>
  <c r="HM45" i="4"/>
  <c r="HM44" i="4"/>
  <c r="HM43" i="4"/>
  <c r="HM49" i="4"/>
  <c r="HN49" i="4"/>
  <c r="HM47" i="4"/>
  <c r="EQ49" i="4"/>
  <c r="EP44" i="4"/>
  <c r="EP49" i="4"/>
  <c r="ER43" i="4"/>
  <c r="EP43" i="4"/>
  <c r="EP45" i="4"/>
  <c r="EP47" i="4"/>
  <c r="CU49" i="4"/>
  <c r="CT44" i="4"/>
  <c r="CT49" i="4"/>
  <c r="CT45" i="4"/>
  <c r="CT43" i="4"/>
  <c r="CV43" i="4"/>
  <c r="CT47" i="4"/>
  <c r="HR43" i="4" l="1"/>
  <c r="HP45" i="4"/>
  <c r="HP44" i="4"/>
  <c r="HP43" i="4"/>
  <c r="HQ49" i="4"/>
  <c r="HP49" i="4"/>
  <c r="HP47" i="4"/>
  <c r="EU43" i="4"/>
  <c r="ET49" i="4"/>
  <c r="ES49" i="4"/>
  <c r="ES43" i="4"/>
  <c r="ES45" i="4"/>
  <c r="ES44" i="4"/>
  <c r="ES47" i="4"/>
  <c r="CY43" i="4"/>
  <c r="CX49" i="4"/>
  <c r="CW45" i="4"/>
  <c r="CW43" i="4"/>
  <c r="CW49" i="4"/>
  <c r="CW44" i="4"/>
  <c r="CW47" i="4"/>
  <c r="HT49" i="4" l="1"/>
  <c r="HS45" i="4"/>
  <c r="HS44" i="4"/>
  <c r="HS43" i="4"/>
  <c r="HS49" i="4"/>
  <c r="HS47" i="4"/>
  <c r="EX43" i="4"/>
  <c r="EW49" i="4"/>
  <c r="EV49" i="4"/>
  <c r="EV43" i="4"/>
  <c r="EV47" i="4"/>
  <c r="EV45" i="4"/>
  <c r="EV44" i="4"/>
  <c r="DB43" i="4"/>
  <c r="DA49" i="4"/>
  <c r="CZ49" i="4"/>
  <c r="CZ45" i="4"/>
  <c r="CZ43" i="4"/>
  <c r="CZ47" i="4"/>
  <c r="CZ44" i="4"/>
  <c r="EZ49" i="4" l="1"/>
  <c r="EY45" i="4"/>
  <c r="EY44" i="4"/>
  <c r="EY43" i="4"/>
  <c r="EY49" i="4"/>
  <c r="EY47" i="4"/>
  <c r="DD49" i="4"/>
  <c r="DC45" i="4"/>
  <c r="DC44" i="4"/>
  <c r="DC43" i="4"/>
  <c r="DC49" i="4"/>
  <c r="DC47" i="4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  <font>
      <sz val="11"/>
      <color theme="0"/>
      <name val="HGP創英角ｺﾞｼｯｸUB"/>
      <family val="3"/>
      <charset val="128"/>
    </font>
    <font>
      <sz val="11"/>
      <color theme="1"/>
      <name val="HGP創英角ｺﾞｼｯｸUB"/>
      <family val="3"/>
      <charset val="128"/>
    </font>
    <font>
      <sz val="18"/>
      <color theme="1"/>
      <name val="HGP創英角ｺﾞｼｯｸUB"/>
      <family val="3"/>
      <charset val="128"/>
    </font>
    <font>
      <sz val="16"/>
      <color theme="1"/>
      <name val="HGP創英角ｺﾞｼｯｸUB"/>
      <family val="3"/>
      <charset val="128"/>
    </font>
    <font>
      <sz val="18"/>
      <color theme="0"/>
      <name val="HGP創英角ｺﾞｼｯｸUB"/>
      <family val="3"/>
      <charset val="128"/>
    </font>
    <font>
      <sz val="16"/>
      <color theme="0"/>
      <name val="HGP創英角ｺﾞｼｯｸUB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1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4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  <xf numFmtId="0" fontId="4" fillId="0" borderId="7" xfId="0" applyFont="1" applyBorder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>
      <alignment vertical="center"/>
    </xf>
    <xf numFmtId="0" fontId="6" fillId="0" borderId="5" xfId="0" applyFont="1" applyBorder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>
      <alignment vertical="center"/>
    </xf>
    <xf numFmtId="0" fontId="7" fillId="0" borderId="5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0" xfId="0" applyFont="1" applyBorder="1">
      <alignment vertical="center"/>
    </xf>
    <xf numFmtId="0" fontId="5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opLeftCell="A10" workbookViewId="0">
      <selection activeCell="A10" sqref="A1:F1048576"/>
    </sheetView>
  </sheetViews>
  <sheetFormatPr defaultRowHeight="18" x14ac:dyDescent="0.45"/>
  <sheetData/>
  <phoneticPr fontId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V49"/>
  <sheetViews>
    <sheetView tabSelected="1" view="pageLayout" topLeftCell="B1" zoomScale="72" zoomScaleNormal="52" zoomScalePageLayoutView="72" workbookViewId="0">
      <selection activeCell="B5" sqref="B5:C6"/>
    </sheetView>
  </sheetViews>
  <sheetFormatPr defaultColWidth="0" defaultRowHeight="18" customHeight="1" x14ac:dyDescent="0.45"/>
  <cols>
    <col min="1" max="1" width="0.69921875" style="1" customWidth="1"/>
    <col min="2" max="3" width="12" customWidth="1"/>
    <col min="4" max="4" width="0.69921875" style="1" customWidth="1"/>
    <col min="5" max="6" width="12" customWidth="1"/>
    <col min="7" max="7" width="0.69921875" style="1" customWidth="1"/>
    <col min="8" max="9" width="12" customWidth="1"/>
    <col min="10" max="10" width="0.69921875" style="1" customWidth="1"/>
    <col min="11" max="12" width="12" customWidth="1"/>
    <col min="13" max="13" width="0.69921875" style="1" customWidth="1"/>
    <col min="14" max="15" width="12" customWidth="1"/>
    <col min="16" max="16" width="0.69921875" style="1" customWidth="1"/>
    <col min="17" max="18" width="12" customWidth="1"/>
    <col min="19" max="19" width="0.69921875" style="1" customWidth="1"/>
    <col min="20" max="21" width="12" customWidth="1"/>
    <col min="22" max="22" width="0.69921875" style="1" customWidth="1"/>
    <col min="23" max="24" width="12" customWidth="1"/>
    <col min="25" max="25" width="0.69921875" style="1" customWidth="1"/>
    <col min="26" max="27" width="12" customWidth="1"/>
    <col min="28" max="28" width="0.69921875" style="1" customWidth="1"/>
    <col min="29" max="30" width="12" customWidth="1"/>
    <col min="31" max="31" width="0.69921875" style="1" customWidth="1"/>
    <col min="32" max="33" width="12" customWidth="1"/>
    <col min="34" max="34" width="0.69921875" style="1" customWidth="1"/>
    <col min="35" max="36" width="12" customWidth="1"/>
    <col min="37" max="37" width="0.69921875" style="1" customWidth="1"/>
    <col min="38" max="39" width="12" customWidth="1"/>
    <col min="40" max="40" width="0.69921875" style="1" customWidth="1"/>
    <col min="41" max="42" width="12" customWidth="1"/>
    <col min="43" max="43" width="0.69921875" style="1" customWidth="1"/>
    <col min="44" max="45" width="12" customWidth="1"/>
    <col min="46" max="46" width="0.69921875" style="1" customWidth="1"/>
    <col min="47" max="48" width="12" customWidth="1"/>
    <col min="49" max="49" width="0.69921875" style="1" customWidth="1"/>
    <col min="50" max="51" width="12" customWidth="1"/>
    <col min="52" max="52" width="0.69921875" style="1" customWidth="1"/>
    <col min="53" max="54" width="12" customWidth="1"/>
    <col min="55" max="55" width="0.69921875" style="1" customWidth="1"/>
    <col min="56" max="57" width="12" customWidth="1"/>
    <col min="58" max="58" width="0.69921875" style="1" customWidth="1"/>
    <col min="59" max="60" width="12" customWidth="1"/>
    <col min="61" max="61" width="0.69921875" style="1" customWidth="1"/>
    <col min="62" max="63" width="12" customWidth="1"/>
    <col min="64" max="64" width="0.69921875" style="1" customWidth="1"/>
    <col min="65" max="66" width="12" customWidth="1"/>
    <col min="67" max="67" width="0.69921875" style="1" customWidth="1"/>
    <col min="68" max="69" width="12" customWidth="1"/>
    <col min="70" max="70" width="0.69921875" style="1" customWidth="1"/>
    <col min="71" max="72" width="12" customWidth="1"/>
    <col min="73" max="73" width="0.69921875" style="1" customWidth="1"/>
    <col min="74" max="75" width="12" customWidth="1"/>
    <col min="76" max="76" width="0.69921875" style="1" customWidth="1"/>
    <col min="77" max="78" width="12" customWidth="1"/>
    <col min="79" max="79" width="0.69921875" style="1" customWidth="1"/>
    <col min="80" max="81" width="12" customWidth="1"/>
    <col min="82" max="82" width="0.69921875" style="1" customWidth="1"/>
    <col min="83" max="84" width="12" customWidth="1"/>
    <col min="85" max="85" width="0.69921875" style="1" customWidth="1"/>
    <col min="86" max="87" width="12" customWidth="1"/>
    <col min="88" max="88" width="0.69921875" style="1" customWidth="1"/>
    <col min="89" max="90" width="12" customWidth="1"/>
    <col min="91" max="91" width="0.69921875" style="1" customWidth="1"/>
    <col min="92" max="93" width="12" customWidth="1"/>
    <col min="94" max="94" width="0.69921875" style="1" customWidth="1"/>
    <col min="95" max="96" width="12" customWidth="1"/>
    <col min="97" max="97" width="0.69921875" style="1" customWidth="1"/>
    <col min="98" max="99" width="12" customWidth="1"/>
    <col min="100" max="100" width="0.69921875" style="1" customWidth="1"/>
    <col min="101" max="102" width="12" customWidth="1"/>
    <col min="103" max="103" width="0.69921875" style="1" customWidth="1"/>
    <col min="104" max="105" width="12" customWidth="1"/>
    <col min="106" max="106" width="0.69921875" style="1" customWidth="1"/>
    <col min="107" max="108" width="12" customWidth="1"/>
    <col min="109" max="109" width="0.69921875" style="1" customWidth="1"/>
    <col min="110" max="111" width="12" customWidth="1"/>
    <col min="112" max="112" width="0.69921875" style="1" customWidth="1"/>
    <col min="113" max="114" width="12" customWidth="1"/>
    <col min="115" max="115" width="0.69921875" style="1" customWidth="1"/>
    <col min="116" max="117" width="12" customWidth="1"/>
    <col min="118" max="118" width="0.69921875" style="1" customWidth="1"/>
    <col min="119" max="120" width="12" customWidth="1"/>
    <col min="121" max="121" width="0.69921875" style="1" customWidth="1"/>
    <col min="122" max="123" width="12" customWidth="1"/>
    <col min="124" max="124" width="0.69921875" style="1" customWidth="1"/>
    <col min="125" max="126" width="12" customWidth="1"/>
    <col min="127" max="127" width="0.69921875" style="1" customWidth="1"/>
    <col min="128" max="129" width="12" customWidth="1"/>
    <col min="130" max="130" width="0.69921875" style="1" customWidth="1"/>
    <col min="131" max="132" width="12" customWidth="1"/>
    <col min="133" max="133" width="0.69921875" style="1" customWidth="1"/>
    <col min="134" max="135" width="12" customWidth="1"/>
    <col min="136" max="136" width="0.69921875" style="1" customWidth="1"/>
    <col min="137" max="138" width="12" customWidth="1"/>
    <col min="139" max="139" width="0.69921875" style="1" customWidth="1"/>
    <col min="140" max="141" width="12" customWidth="1"/>
    <col min="142" max="142" width="0.69921875" style="1" customWidth="1"/>
    <col min="143" max="144" width="12" customWidth="1"/>
    <col min="145" max="145" width="0.69921875" style="1" customWidth="1"/>
    <col min="146" max="147" width="12" customWidth="1"/>
    <col min="148" max="148" width="0.69921875" style="1" customWidth="1"/>
    <col min="149" max="150" width="12" customWidth="1"/>
    <col min="151" max="151" width="0.69921875" style="1" customWidth="1"/>
    <col min="152" max="153" width="12" customWidth="1"/>
    <col min="154" max="154" width="0.69921875" style="1" customWidth="1"/>
    <col min="155" max="156" width="12" customWidth="1"/>
    <col min="157" max="157" width="0.69921875" style="1" customWidth="1"/>
    <col min="158" max="159" width="12" customWidth="1"/>
    <col min="160" max="160" width="0.69921875" style="1" customWidth="1"/>
    <col min="161" max="162" width="12" customWidth="1"/>
    <col min="163" max="163" width="0.69921875" style="1" customWidth="1"/>
    <col min="164" max="165" width="12" customWidth="1"/>
    <col min="166" max="166" width="0.69921875" style="1" customWidth="1"/>
    <col min="167" max="168" width="12" customWidth="1"/>
    <col min="169" max="169" width="0.69921875" style="1" customWidth="1"/>
    <col min="170" max="171" width="12" customWidth="1"/>
    <col min="172" max="172" width="0.69921875" style="1" customWidth="1"/>
    <col min="173" max="174" width="12" customWidth="1"/>
    <col min="175" max="175" width="0.69921875" style="1" customWidth="1"/>
    <col min="176" max="177" width="12" customWidth="1"/>
    <col min="178" max="178" width="0.69921875" style="1" customWidth="1"/>
    <col min="179" max="180" width="12" customWidth="1"/>
    <col min="181" max="181" width="0.69921875" style="1" customWidth="1"/>
    <col min="182" max="183" width="12" customWidth="1"/>
    <col min="184" max="184" width="0.69921875" style="1" customWidth="1"/>
    <col min="185" max="186" width="12" customWidth="1"/>
    <col min="187" max="187" width="0.69921875" style="1" customWidth="1"/>
    <col min="188" max="189" width="12" customWidth="1"/>
    <col min="190" max="190" width="0.69921875" style="1" customWidth="1"/>
    <col min="191" max="192" width="12" customWidth="1"/>
    <col min="193" max="193" width="0.69921875" style="1" customWidth="1"/>
    <col min="194" max="195" width="12" customWidth="1"/>
    <col min="196" max="196" width="0.69921875" style="1" customWidth="1"/>
    <col min="197" max="198" width="12" customWidth="1"/>
    <col min="199" max="199" width="0.69921875" style="1" customWidth="1"/>
    <col min="200" max="201" width="12" customWidth="1"/>
    <col min="202" max="202" width="0.69921875" style="1" customWidth="1"/>
    <col min="203" max="204" width="12" customWidth="1"/>
    <col min="205" max="205" width="0.69921875" style="1" customWidth="1"/>
    <col min="206" max="207" width="12" customWidth="1"/>
    <col min="208" max="208" width="0.69921875" style="1" customWidth="1"/>
    <col min="209" max="210" width="12" customWidth="1"/>
    <col min="211" max="211" width="0.69921875" style="1" customWidth="1"/>
    <col min="212" max="213" width="12" customWidth="1"/>
    <col min="214" max="214" width="0.69921875" style="1" customWidth="1"/>
    <col min="215" max="216" width="12" customWidth="1"/>
    <col min="217" max="217" width="0.69921875" style="1" customWidth="1"/>
    <col min="218" max="219" width="12" customWidth="1"/>
    <col min="220" max="220" width="0.69921875" style="1" customWidth="1"/>
    <col min="221" max="222" width="12" customWidth="1"/>
    <col min="223" max="223" width="0.69921875" style="1" customWidth="1"/>
    <col min="224" max="225" width="12" customWidth="1"/>
    <col min="226" max="226" width="0.69921875" style="1" customWidth="1"/>
    <col min="227" max="228" width="12" customWidth="1"/>
  </cols>
  <sheetData>
    <row r="1" spans="1:230" ht="17.100000000000001" customHeight="1" x14ac:dyDescent="0.45">
      <c r="A1" s="5">
        <v>1</v>
      </c>
      <c r="B1" s="6">
        <f ca="1">OFFSET(Gemini抽出データ!$A$1,A1,0)</f>
        <v>0</v>
      </c>
      <c r="C1" s="7"/>
      <c r="D1" s="5">
        <f>A1+1</f>
        <v>2</v>
      </c>
      <c r="E1" s="6">
        <f ca="1">OFFSET(Gemini抽出データ!$A$1,D1,0)</f>
        <v>0</v>
      </c>
      <c r="F1" s="8"/>
      <c r="G1" s="9">
        <f>D1+1</f>
        <v>3</v>
      </c>
      <c r="H1" s="6">
        <f ca="1">OFFSET(Gemini抽出データ!$A$1,G1,0)</f>
        <v>0</v>
      </c>
      <c r="I1" s="7"/>
      <c r="J1" s="5">
        <f>G1+1</f>
        <v>4</v>
      </c>
      <c r="K1" s="6">
        <f ca="1">OFFSET(Gemini抽出データ!$A$1,J1,0)</f>
        <v>0</v>
      </c>
      <c r="L1" s="8"/>
      <c r="M1" s="5">
        <f>J43+1</f>
        <v>29</v>
      </c>
      <c r="N1" s="6">
        <f ca="1">OFFSET(Gemini抽出データ!$A$1,M1,0)</f>
        <v>0</v>
      </c>
      <c r="O1" s="7"/>
      <c r="P1" s="5">
        <f>M1+1</f>
        <v>30</v>
      </c>
      <c r="Q1" s="6">
        <f ca="1">OFFSET(Gemini抽出データ!$A$1,P1,0)</f>
        <v>0</v>
      </c>
      <c r="R1" s="8"/>
      <c r="S1" s="9">
        <f>P1+1</f>
        <v>31</v>
      </c>
      <c r="T1" s="6">
        <f ca="1">OFFSET(Gemini抽出データ!$A$1,S1,0)</f>
        <v>0</v>
      </c>
      <c r="U1" s="7"/>
      <c r="V1" s="5">
        <f>S1+1</f>
        <v>32</v>
      </c>
      <c r="W1" s="6">
        <f ca="1">OFFSET(Gemini抽出データ!$A$1,V1,0)</f>
        <v>0</v>
      </c>
      <c r="X1" s="8"/>
      <c r="Y1" s="5">
        <f>V43+1</f>
        <v>57</v>
      </c>
      <c r="Z1" s="6">
        <f ca="1">OFFSET(Gemini抽出データ!$A$1,Y1,0)</f>
        <v>0</v>
      </c>
      <c r="AA1" s="7"/>
      <c r="AB1" s="5">
        <f>Y1+1</f>
        <v>58</v>
      </c>
      <c r="AC1" s="6">
        <f ca="1">OFFSET(Gemini抽出データ!$A$1,AB1,0)</f>
        <v>0</v>
      </c>
      <c r="AD1" s="8"/>
      <c r="AE1" s="9">
        <f>AB1+1</f>
        <v>59</v>
      </c>
      <c r="AF1" s="6">
        <f ca="1">OFFSET(Gemini抽出データ!$A$1,AE1,0)</f>
        <v>0</v>
      </c>
      <c r="AG1" s="7"/>
      <c r="AH1" s="5">
        <f>AE1+1</f>
        <v>60</v>
      </c>
      <c r="AI1" s="6">
        <f ca="1">OFFSET(Gemini抽出データ!$A$1,AH1,0)</f>
        <v>0</v>
      </c>
      <c r="AJ1" s="8"/>
      <c r="AK1" s="5">
        <f>AH43+1</f>
        <v>85</v>
      </c>
      <c r="AL1" s="6">
        <f ca="1">OFFSET(Gemini抽出データ!$A$1,AK1,0)</f>
        <v>0</v>
      </c>
      <c r="AM1" s="7"/>
      <c r="AN1" s="5">
        <f>AK1+1</f>
        <v>86</v>
      </c>
      <c r="AO1" s="6">
        <f ca="1">OFFSET(Gemini抽出データ!$A$1,AN1,0)</f>
        <v>0</v>
      </c>
      <c r="AP1" s="8"/>
      <c r="AQ1" s="9">
        <f>AN1+1</f>
        <v>87</v>
      </c>
      <c r="AR1" s="6">
        <f ca="1">OFFSET(Gemini抽出データ!$A$1,AQ1,0)</f>
        <v>0</v>
      </c>
      <c r="AS1" s="7"/>
      <c r="AT1" s="5">
        <f>AQ1+1</f>
        <v>88</v>
      </c>
      <c r="AU1" s="6">
        <f ca="1">OFFSET(Gemini抽出データ!$A$1,AT1,0)</f>
        <v>0</v>
      </c>
      <c r="AV1" s="8"/>
      <c r="AW1" s="5">
        <f>AT43+1</f>
        <v>113</v>
      </c>
      <c r="AX1" s="6">
        <f ca="1">OFFSET(Gemini抽出データ!$A$1,AW1,0)</f>
        <v>0</v>
      </c>
      <c r="AY1" s="7"/>
      <c r="AZ1" s="5">
        <f>AW1+1</f>
        <v>114</v>
      </c>
      <c r="BA1" s="6">
        <f ca="1">OFFSET(Gemini抽出データ!$A$1,AZ1,0)</f>
        <v>0</v>
      </c>
      <c r="BB1" s="8"/>
      <c r="BC1" s="9">
        <f>AZ1+1</f>
        <v>115</v>
      </c>
      <c r="BD1" s="6">
        <f ca="1">OFFSET(Gemini抽出データ!$A$1,BC1,0)</f>
        <v>0</v>
      </c>
      <c r="BE1" s="7"/>
      <c r="BF1" s="5">
        <f>BC1+1</f>
        <v>116</v>
      </c>
      <c r="BG1" s="6">
        <f ca="1">OFFSET(Gemini抽出データ!$A$1,BF1,0)</f>
        <v>0</v>
      </c>
      <c r="BH1" s="8"/>
      <c r="BI1" s="5">
        <f>BF43+1</f>
        <v>141</v>
      </c>
      <c r="BJ1" s="6">
        <f ca="1">OFFSET(Gemini抽出データ!$A$1,BI1,0)</f>
        <v>0</v>
      </c>
      <c r="BK1" s="7"/>
      <c r="BL1" s="5">
        <f>BI1+1</f>
        <v>142</v>
      </c>
      <c r="BM1" s="6">
        <f ca="1">OFFSET(Gemini抽出データ!$A$1,BL1,0)</f>
        <v>0</v>
      </c>
      <c r="BN1" s="8"/>
      <c r="BO1" s="9">
        <f>BL1+1</f>
        <v>143</v>
      </c>
      <c r="BP1" s="6">
        <f ca="1">OFFSET(Gemini抽出データ!$A$1,BO1,0)</f>
        <v>0</v>
      </c>
      <c r="BQ1" s="7"/>
      <c r="BR1" s="5">
        <f>BO1+1</f>
        <v>144</v>
      </c>
      <c r="BS1" s="6">
        <f ca="1">OFFSET(Gemini抽出データ!$A$1,BR1,0)</f>
        <v>0</v>
      </c>
      <c r="BT1" s="8"/>
      <c r="BU1" s="5">
        <f>BR43+1</f>
        <v>169</v>
      </c>
      <c r="BV1" s="6">
        <f ca="1">OFFSET(Gemini抽出データ!$A$1,BU1,0)</f>
        <v>0</v>
      </c>
      <c r="BW1" s="7"/>
      <c r="BX1" s="5">
        <f>BU1+1</f>
        <v>170</v>
      </c>
      <c r="BY1" s="6">
        <f ca="1">OFFSET(Gemini抽出データ!$A$1,BX1,0)</f>
        <v>0</v>
      </c>
      <c r="BZ1" s="8"/>
      <c r="CA1" s="9">
        <f>BX1+1</f>
        <v>171</v>
      </c>
      <c r="CB1" s="6">
        <f ca="1">OFFSET(Gemini抽出データ!$A$1,CA1,0)</f>
        <v>0</v>
      </c>
      <c r="CC1" s="7"/>
      <c r="CD1" s="5">
        <f>CA1+1</f>
        <v>172</v>
      </c>
      <c r="CE1" s="6">
        <f ca="1">OFFSET(Gemini抽出データ!$A$1,CD1,0)</f>
        <v>0</v>
      </c>
      <c r="CF1" s="8"/>
      <c r="CG1" s="5">
        <f>CD43+1</f>
        <v>197</v>
      </c>
      <c r="CH1" s="6">
        <f ca="1">OFFSET(Gemini抽出データ!$A$1,CG1,0)</f>
        <v>0</v>
      </c>
      <c r="CI1" s="7"/>
      <c r="CJ1" s="5">
        <f>CG1+1</f>
        <v>198</v>
      </c>
      <c r="CK1" s="6">
        <f ca="1">OFFSET(Gemini抽出データ!$A$1,CJ1,0)</f>
        <v>0</v>
      </c>
      <c r="CL1" s="8"/>
      <c r="CM1" s="9">
        <f>CJ1+1</f>
        <v>199</v>
      </c>
      <c r="CN1" s="6">
        <f ca="1">OFFSET(Gemini抽出データ!$A$1,CM1,0)</f>
        <v>0</v>
      </c>
      <c r="CO1" s="7"/>
      <c r="CP1" s="5">
        <f>CM1+1</f>
        <v>200</v>
      </c>
      <c r="CQ1" s="6">
        <f ca="1">OFFSET(Gemini抽出データ!$A$1,CP1,0)</f>
        <v>0</v>
      </c>
      <c r="CR1" s="8"/>
      <c r="CS1" s="5">
        <f>CP43+1</f>
        <v>225</v>
      </c>
      <c r="CT1" s="6">
        <f ca="1">OFFSET(Gemini抽出データ!$A$1,CS1,0)</f>
        <v>0</v>
      </c>
      <c r="CU1" s="7"/>
      <c r="CV1" s="5">
        <f>CS1+1</f>
        <v>226</v>
      </c>
      <c r="CW1" s="6">
        <f ca="1">OFFSET(Gemini抽出データ!$A$1,CV1,0)</f>
        <v>0</v>
      </c>
      <c r="CX1" s="8"/>
      <c r="CY1" s="9">
        <f>CV1+1</f>
        <v>227</v>
      </c>
      <c r="CZ1" s="6">
        <f ca="1">OFFSET(Gemini抽出データ!$A$1,CY1,0)</f>
        <v>0</v>
      </c>
      <c r="DA1" s="7"/>
      <c r="DB1" s="5">
        <f>CY1+1</f>
        <v>228</v>
      </c>
      <c r="DC1" s="6">
        <f ca="1">OFFSET(Gemini抽出データ!$A$1,DB1,0)</f>
        <v>0</v>
      </c>
      <c r="DD1" s="8"/>
      <c r="DE1" s="5">
        <f>DB43+1</f>
        <v>253</v>
      </c>
      <c r="DF1" s="6">
        <f ca="1">OFFSET(Gemini抽出データ!$A$1,DE1,0)</f>
        <v>0</v>
      </c>
      <c r="DG1" s="7"/>
      <c r="DH1" s="5">
        <f>DE1+1</f>
        <v>254</v>
      </c>
      <c r="DI1" s="6">
        <f ca="1">OFFSET(Gemini抽出データ!$A$1,DH1,0)</f>
        <v>0</v>
      </c>
      <c r="DJ1" s="8"/>
      <c r="DK1" s="9">
        <f>DH1+1</f>
        <v>255</v>
      </c>
      <c r="DL1" s="6">
        <f ca="1">OFFSET(Gemini抽出データ!$A$1,DK1,0)</f>
        <v>0</v>
      </c>
      <c r="DM1" s="7"/>
      <c r="DN1" s="5">
        <f>DK1+1</f>
        <v>256</v>
      </c>
      <c r="DO1" s="6">
        <f ca="1">OFFSET(Gemini抽出データ!$A$1,DN1,0)</f>
        <v>0</v>
      </c>
      <c r="DP1" s="8"/>
      <c r="DQ1" s="5">
        <f>DN43+1</f>
        <v>281</v>
      </c>
      <c r="DR1" s="6">
        <f ca="1">OFFSET(Gemini抽出データ!$A$1,DQ1,0)</f>
        <v>0</v>
      </c>
      <c r="DS1" s="7"/>
      <c r="DT1" s="5">
        <f>DQ1+1</f>
        <v>282</v>
      </c>
      <c r="DU1" s="6">
        <f ca="1">OFFSET(Gemini抽出データ!$A$1,DT1,0)</f>
        <v>0</v>
      </c>
      <c r="DV1" s="8"/>
      <c r="DW1" s="9">
        <f>DT1+1</f>
        <v>283</v>
      </c>
      <c r="DX1" s="6">
        <f ca="1">OFFSET(Gemini抽出データ!$A$1,DW1,0)</f>
        <v>0</v>
      </c>
      <c r="DY1" s="7"/>
      <c r="DZ1" s="5">
        <f>DW1+1</f>
        <v>284</v>
      </c>
      <c r="EA1" s="6">
        <f ca="1">OFFSET(Gemini抽出データ!$A$1,DZ1,0)</f>
        <v>0</v>
      </c>
      <c r="EB1" s="8"/>
      <c r="EC1" s="5">
        <f>DZ43+1</f>
        <v>309</v>
      </c>
      <c r="ED1" s="6">
        <f ca="1">OFFSET(Gemini抽出データ!$A$1,EC1,0)</f>
        <v>0</v>
      </c>
      <c r="EE1" s="7"/>
      <c r="EF1" s="5">
        <f>EC1+1</f>
        <v>310</v>
      </c>
      <c r="EG1" s="6">
        <f ca="1">OFFSET(Gemini抽出データ!$A$1,EF1,0)</f>
        <v>0</v>
      </c>
      <c r="EH1" s="8"/>
      <c r="EI1" s="9">
        <f>EF1+1</f>
        <v>311</v>
      </c>
      <c r="EJ1" s="6">
        <f ca="1">OFFSET(Gemini抽出データ!$A$1,EI1,0)</f>
        <v>0</v>
      </c>
      <c r="EK1" s="7"/>
      <c r="EL1" s="5">
        <f>EI1+1</f>
        <v>312</v>
      </c>
      <c r="EM1" s="6">
        <f ca="1">OFFSET(Gemini抽出データ!$A$1,EL1,0)</f>
        <v>0</v>
      </c>
      <c r="EN1" s="8"/>
      <c r="EO1" s="5">
        <f>EL43+1</f>
        <v>337</v>
      </c>
      <c r="EP1" s="6">
        <f ca="1">OFFSET(Gemini抽出データ!$A$1,EO1,0)</f>
        <v>0</v>
      </c>
      <c r="EQ1" s="7"/>
      <c r="ER1" s="5">
        <f>EO1+1</f>
        <v>338</v>
      </c>
      <c r="ES1" s="6">
        <f ca="1">OFFSET(Gemini抽出データ!$A$1,ER1,0)</f>
        <v>0</v>
      </c>
      <c r="ET1" s="8"/>
      <c r="EU1" s="9">
        <f>ER1+1</f>
        <v>339</v>
      </c>
      <c r="EV1" s="6">
        <f ca="1">OFFSET(Gemini抽出データ!$A$1,EU1,0)</f>
        <v>0</v>
      </c>
      <c r="EW1" s="7"/>
      <c r="EX1" s="5">
        <f>EU1+1</f>
        <v>340</v>
      </c>
      <c r="EY1" s="6">
        <f ca="1">OFFSET(Gemini抽出データ!$A$1,EX1,0)</f>
        <v>0</v>
      </c>
      <c r="EZ1" s="8"/>
      <c r="FA1" s="5">
        <f>EX43+1</f>
        <v>365</v>
      </c>
      <c r="FB1" s="6">
        <f ca="1">OFFSET(Gemini抽出データ!$A$1,FA1,0)</f>
        <v>0</v>
      </c>
      <c r="FC1" s="7"/>
      <c r="FD1" s="5">
        <f>FA1+1</f>
        <v>366</v>
      </c>
      <c r="FE1" s="6">
        <f ca="1">OFFSET(Gemini抽出データ!$A$1,FD1,0)</f>
        <v>0</v>
      </c>
      <c r="FF1" s="8"/>
      <c r="FG1" s="9">
        <f>FD1+1</f>
        <v>367</v>
      </c>
      <c r="FH1" s="6">
        <f ca="1">OFFSET(Gemini抽出データ!$A$1,FG1,0)</f>
        <v>0</v>
      </c>
      <c r="FI1" s="7"/>
      <c r="FJ1" s="5">
        <f>FG1+1</f>
        <v>368</v>
      </c>
      <c r="FK1" s="6">
        <f ca="1">OFFSET(Gemini抽出データ!$A$1,FJ1,0)</f>
        <v>0</v>
      </c>
      <c r="FL1" s="8"/>
      <c r="FM1" s="5">
        <f>FJ43+1</f>
        <v>393</v>
      </c>
      <c r="FN1" s="6">
        <f ca="1">OFFSET(Gemini抽出データ!$A$1,FM1,0)</f>
        <v>0</v>
      </c>
      <c r="FO1" s="7"/>
      <c r="FP1" s="5">
        <f>FM1+1</f>
        <v>394</v>
      </c>
      <c r="FQ1" s="6">
        <f ca="1">OFFSET(Gemini抽出データ!$A$1,FP1,0)</f>
        <v>0</v>
      </c>
      <c r="FR1" s="8"/>
      <c r="FS1" s="9">
        <f>FP1+1</f>
        <v>395</v>
      </c>
      <c r="FT1" s="6">
        <f ca="1">OFFSET(Gemini抽出データ!$A$1,FS1,0)</f>
        <v>0</v>
      </c>
      <c r="FU1" s="7"/>
      <c r="FV1" s="5">
        <f>FS1+1</f>
        <v>396</v>
      </c>
      <c r="FW1" s="6">
        <f ca="1">OFFSET(Gemini抽出データ!$A$1,FV1,0)</f>
        <v>0</v>
      </c>
      <c r="FX1" s="8"/>
      <c r="FY1" s="5">
        <f>FV43+1</f>
        <v>421</v>
      </c>
      <c r="FZ1" s="6">
        <f ca="1">OFFSET(Gemini抽出データ!$A$1,FY1,0)</f>
        <v>0</v>
      </c>
      <c r="GA1" s="7"/>
      <c r="GB1" s="5">
        <f>FY1+1</f>
        <v>422</v>
      </c>
      <c r="GC1" s="6">
        <f ca="1">OFFSET(Gemini抽出データ!$A$1,GB1,0)</f>
        <v>0</v>
      </c>
      <c r="GD1" s="8"/>
      <c r="GE1" s="9">
        <f>GB1+1</f>
        <v>423</v>
      </c>
      <c r="GF1" s="6">
        <f ca="1">OFFSET(Gemini抽出データ!$A$1,GE1,0)</f>
        <v>0</v>
      </c>
      <c r="GG1" s="7"/>
      <c r="GH1" s="5">
        <f>GE1+1</f>
        <v>424</v>
      </c>
      <c r="GI1" s="6">
        <f ca="1">OFFSET(Gemini抽出データ!$A$1,GH1,0)</f>
        <v>0</v>
      </c>
      <c r="GJ1" s="8"/>
      <c r="GK1" s="5">
        <f>GH43+1</f>
        <v>449</v>
      </c>
      <c r="GL1" s="6">
        <f ca="1">OFFSET(Gemini抽出データ!$A$1,GK1,0)</f>
        <v>0</v>
      </c>
      <c r="GM1" s="7"/>
      <c r="GN1" s="5">
        <f>GK1+1</f>
        <v>450</v>
      </c>
      <c r="GO1" s="6">
        <f ca="1">OFFSET(Gemini抽出データ!$A$1,GN1,0)</f>
        <v>0</v>
      </c>
      <c r="GP1" s="8"/>
      <c r="GQ1" s="9">
        <f>GN1+1</f>
        <v>451</v>
      </c>
      <c r="GR1" s="6">
        <f ca="1">OFFSET(Gemini抽出データ!$A$1,GQ1,0)</f>
        <v>0</v>
      </c>
      <c r="GS1" s="7"/>
      <c r="GT1" s="5">
        <f>GQ1+1</f>
        <v>452</v>
      </c>
      <c r="GU1" s="6">
        <f ca="1">OFFSET(Gemini抽出データ!$A$1,GT1,0)</f>
        <v>0</v>
      </c>
      <c r="GV1" s="8"/>
      <c r="GW1" s="5">
        <f>GT43+1</f>
        <v>477</v>
      </c>
      <c r="GX1" s="6">
        <f ca="1">OFFSET(Gemini抽出データ!$A$1,GW1,0)</f>
        <v>0</v>
      </c>
      <c r="GY1" s="7"/>
      <c r="GZ1" s="5">
        <f>GW1+1</f>
        <v>478</v>
      </c>
      <c r="HA1" s="6">
        <f ca="1">OFFSET(Gemini抽出データ!$A$1,GZ1,0)</f>
        <v>0</v>
      </c>
      <c r="HB1" s="8"/>
      <c r="HC1" s="9">
        <f>GZ1+1</f>
        <v>479</v>
      </c>
      <c r="HD1" s="6">
        <f ca="1">OFFSET(Gemini抽出データ!$A$1,HC1,0)</f>
        <v>0</v>
      </c>
      <c r="HE1" s="7"/>
      <c r="HF1" s="5">
        <f>HC1+1</f>
        <v>480</v>
      </c>
      <c r="HG1" s="6">
        <f ca="1">OFFSET(Gemini抽出データ!$A$1,HF1,0)</f>
        <v>0</v>
      </c>
      <c r="HH1" s="8"/>
      <c r="HI1" s="5">
        <f>HF43+1</f>
        <v>505</v>
      </c>
      <c r="HJ1" s="6">
        <f ca="1">OFFSET(Gemini抽出データ!$A$1,HI1,0)</f>
        <v>0</v>
      </c>
      <c r="HK1" s="7"/>
      <c r="HL1" s="5">
        <f>HI1+1</f>
        <v>506</v>
      </c>
      <c r="HM1" s="6">
        <f ca="1">OFFSET(Gemini抽出データ!$A$1,HL1,0)</f>
        <v>0</v>
      </c>
      <c r="HN1" s="8"/>
      <c r="HO1" s="9">
        <f>HL1+1</f>
        <v>507</v>
      </c>
      <c r="HP1" s="6">
        <f ca="1">OFFSET(Gemini抽出データ!$A$1,HO1,0)</f>
        <v>0</v>
      </c>
      <c r="HQ1" s="7"/>
      <c r="HR1" s="5">
        <f>HO1+1</f>
        <v>508</v>
      </c>
      <c r="HS1" s="6">
        <f ca="1">OFFSET(Gemini抽出データ!$A$1,HR1,0)</f>
        <v>0</v>
      </c>
      <c r="HT1" s="8"/>
      <c r="HU1" s="4" t="e">
        <f ca="1">OFFSET(Gemini抽出データ!$A$1,#REF!,0)</f>
        <v>#REF!</v>
      </c>
      <c r="HV1" s="3"/>
    </row>
    <row r="2" spans="1:230" ht="17.100000000000001" customHeight="1" x14ac:dyDescent="0.45">
      <c r="A2" s="10" t="str">
        <f>"クライアント名"&amp;A$1</f>
        <v>クライアント名1</v>
      </c>
      <c r="B2" s="11">
        <f ca="1">OFFSET(Gemini抽出データ!$A$1,A1,2)</f>
        <v>0</v>
      </c>
      <c r="C2" s="11"/>
      <c r="D2" s="10" t="str">
        <f>"クライアント名"&amp;D$1</f>
        <v>クライアント名2</v>
      </c>
      <c r="E2" s="11">
        <f ca="1">OFFSET(Gemini抽出データ!$A$1,D1,2)</f>
        <v>0</v>
      </c>
      <c r="F2" s="12"/>
      <c r="G2" s="13" t="str">
        <f>"クライアント名"&amp;G$1</f>
        <v>クライアント名3</v>
      </c>
      <c r="H2" s="11">
        <f ca="1">OFFSET(Gemini抽出データ!$A$1,G1,2)</f>
        <v>0</v>
      </c>
      <c r="I2" s="11"/>
      <c r="J2" s="10" t="str">
        <f>"クライアント名"&amp;J$1</f>
        <v>クライアント名4</v>
      </c>
      <c r="K2" s="11">
        <f ca="1">OFFSET(Gemini抽出データ!$A$1,J1,2)</f>
        <v>0</v>
      </c>
      <c r="L2" s="12"/>
      <c r="M2" s="10" t="str">
        <f>"クライアント名"&amp;M$1</f>
        <v>クライアント名29</v>
      </c>
      <c r="N2" s="11">
        <f ca="1">OFFSET(Gemini抽出データ!$A$1,M1,2)</f>
        <v>0</v>
      </c>
      <c r="O2" s="11"/>
      <c r="P2" s="10" t="str">
        <f>"クライアント名"&amp;P$1</f>
        <v>クライアント名30</v>
      </c>
      <c r="Q2" s="11">
        <f ca="1">OFFSET(Gemini抽出データ!$A$1,P1,2)</f>
        <v>0</v>
      </c>
      <c r="R2" s="12"/>
      <c r="S2" s="13" t="str">
        <f>"クライアント名"&amp;S$1</f>
        <v>クライアント名31</v>
      </c>
      <c r="T2" s="11">
        <f ca="1">OFFSET(Gemini抽出データ!$A$1,S1,2)</f>
        <v>0</v>
      </c>
      <c r="U2" s="11"/>
      <c r="V2" s="10" t="str">
        <f>"クライアント名"&amp;V$1</f>
        <v>クライアント名32</v>
      </c>
      <c r="W2" s="11">
        <f ca="1">OFFSET(Gemini抽出データ!$A$1,V1,2)</f>
        <v>0</v>
      </c>
      <c r="X2" s="12"/>
      <c r="Y2" s="10" t="str">
        <f>"クライアント名"&amp;Y$1</f>
        <v>クライアント名57</v>
      </c>
      <c r="Z2" s="11">
        <f ca="1">OFFSET(Gemini抽出データ!$A$1,Y1,2)</f>
        <v>0</v>
      </c>
      <c r="AA2" s="11"/>
      <c r="AB2" s="10" t="str">
        <f>"クライアント名"&amp;AB$1</f>
        <v>クライアント名58</v>
      </c>
      <c r="AC2" s="11">
        <f ca="1">OFFSET(Gemini抽出データ!$A$1,AB1,2)</f>
        <v>0</v>
      </c>
      <c r="AD2" s="12"/>
      <c r="AE2" s="13" t="str">
        <f>"クライアント名"&amp;AE$1</f>
        <v>クライアント名59</v>
      </c>
      <c r="AF2" s="11">
        <f ca="1">OFFSET(Gemini抽出データ!$A$1,AE1,2)</f>
        <v>0</v>
      </c>
      <c r="AG2" s="11"/>
      <c r="AH2" s="10" t="str">
        <f>"クライアント名"&amp;AH$1</f>
        <v>クライアント名60</v>
      </c>
      <c r="AI2" s="11">
        <f ca="1">OFFSET(Gemini抽出データ!$A$1,AH1,2)</f>
        <v>0</v>
      </c>
      <c r="AJ2" s="12"/>
      <c r="AK2" s="10" t="str">
        <f>"クライアント名"&amp;AK$1</f>
        <v>クライアント名85</v>
      </c>
      <c r="AL2" s="11">
        <f ca="1">OFFSET(Gemini抽出データ!$A$1,AK1,2)</f>
        <v>0</v>
      </c>
      <c r="AM2" s="11"/>
      <c r="AN2" s="10" t="str">
        <f>"クライアント名"&amp;AN$1</f>
        <v>クライアント名86</v>
      </c>
      <c r="AO2" s="11">
        <f ca="1">OFFSET(Gemini抽出データ!$A$1,AN1,2)</f>
        <v>0</v>
      </c>
      <c r="AP2" s="12"/>
      <c r="AQ2" s="13" t="str">
        <f>"クライアント名"&amp;AQ$1</f>
        <v>クライアント名87</v>
      </c>
      <c r="AR2" s="11">
        <f ca="1">OFFSET(Gemini抽出データ!$A$1,AQ1,2)</f>
        <v>0</v>
      </c>
      <c r="AS2" s="11"/>
      <c r="AT2" s="10" t="str">
        <f>"クライアント名"&amp;AT$1</f>
        <v>クライアント名88</v>
      </c>
      <c r="AU2" s="11">
        <f ca="1">OFFSET(Gemini抽出データ!$A$1,AT1,2)</f>
        <v>0</v>
      </c>
      <c r="AV2" s="12"/>
      <c r="AW2" s="10" t="str">
        <f>"クライアント名"&amp;AW$1</f>
        <v>クライアント名113</v>
      </c>
      <c r="AX2" s="11">
        <f ca="1">OFFSET(Gemini抽出データ!$A$1,AW1,2)</f>
        <v>0</v>
      </c>
      <c r="AY2" s="11"/>
      <c r="AZ2" s="10" t="str">
        <f>"クライアント名"&amp;AZ$1</f>
        <v>クライアント名114</v>
      </c>
      <c r="BA2" s="11">
        <f ca="1">OFFSET(Gemini抽出データ!$A$1,AZ1,2)</f>
        <v>0</v>
      </c>
      <c r="BB2" s="12"/>
      <c r="BC2" s="13" t="str">
        <f>"クライアント名"&amp;BC$1</f>
        <v>クライアント名115</v>
      </c>
      <c r="BD2" s="11">
        <f ca="1">OFFSET(Gemini抽出データ!$A$1,BC1,2)</f>
        <v>0</v>
      </c>
      <c r="BE2" s="11"/>
      <c r="BF2" s="10" t="str">
        <f>"クライアント名"&amp;BF$1</f>
        <v>クライアント名116</v>
      </c>
      <c r="BG2" s="11">
        <f ca="1">OFFSET(Gemini抽出データ!$A$1,BF1,2)</f>
        <v>0</v>
      </c>
      <c r="BH2" s="12"/>
      <c r="BI2" s="10" t="str">
        <f>"クライアント名"&amp;BI$1</f>
        <v>クライアント名141</v>
      </c>
      <c r="BJ2" s="11">
        <f ca="1">OFFSET(Gemini抽出データ!$A$1,BI1,2)</f>
        <v>0</v>
      </c>
      <c r="BK2" s="11"/>
      <c r="BL2" s="10" t="str">
        <f>"クライアント名"&amp;BL$1</f>
        <v>クライアント名142</v>
      </c>
      <c r="BM2" s="11">
        <f ca="1">OFFSET(Gemini抽出データ!$A$1,BL1,2)</f>
        <v>0</v>
      </c>
      <c r="BN2" s="12"/>
      <c r="BO2" s="13" t="str">
        <f>"クライアント名"&amp;BO$1</f>
        <v>クライアント名143</v>
      </c>
      <c r="BP2" s="11">
        <f ca="1">OFFSET(Gemini抽出データ!$A$1,BO1,2)</f>
        <v>0</v>
      </c>
      <c r="BQ2" s="11"/>
      <c r="BR2" s="10" t="str">
        <f>"クライアント名"&amp;BR$1</f>
        <v>クライアント名144</v>
      </c>
      <c r="BS2" s="11">
        <f ca="1">OFFSET(Gemini抽出データ!$A$1,BR1,2)</f>
        <v>0</v>
      </c>
      <c r="BT2" s="12"/>
      <c r="BU2" s="10" t="str">
        <f>"クライアント名"&amp;BU$1</f>
        <v>クライアント名169</v>
      </c>
      <c r="BV2" s="11">
        <f ca="1">OFFSET(Gemini抽出データ!$A$1,BU1,2)</f>
        <v>0</v>
      </c>
      <c r="BW2" s="11"/>
      <c r="BX2" s="10" t="str">
        <f>"クライアント名"&amp;BX$1</f>
        <v>クライアント名170</v>
      </c>
      <c r="BY2" s="11">
        <f ca="1">OFFSET(Gemini抽出データ!$A$1,BX1,2)</f>
        <v>0</v>
      </c>
      <c r="BZ2" s="12"/>
      <c r="CA2" s="13" t="str">
        <f>"クライアント名"&amp;CA$1</f>
        <v>クライアント名171</v>
      </c>
      <c r="CB2" s="11">
        <f ca="1">OFFSET(Gemini抽出データ!$A$1,CA1,2)</f>
        <v>0</v>
      </c>
      <c r="CC2" s="11"/>
      <c r="CD2" s="10" t="str">
        <f>"クライアント名"&amp;CD$1</f>
        <v>クライアント名172</v>
      </c>
      <c r="CE2" s="11">
        <f ca="1">OFFSET(Gemini抽出データ!$A$1,CD1,2)</f>
        <v>0</v>
      </c>
      <c r="CF2" s="12"/>
      <c r="CG2" s="10" t="str">
        <f>"クライアント名"&amp;CG$1</f>
        <v>クライアント名197</v>
      </c>
      <c r="CH2" s="11">
        <f ca="1">OFFSET(Gemini抽出データ!$A$1,CG1,2)</f>
        <v>0</v>
      </c>
      <c r="CI2" s="11"/>
      <c r="CJ2" s="10" t="str">
        <f>"クライアント名"&amp;CJ$1</f>
        <v>クライアント名198</v>
      </c>
      <c r="CK2" s="11">
        <f ca="1">OFFSET(Gemini抽出データ!$A$1,CJ1,2)</f>
        <v>0</v>
      </c>
      <c r="CL2" s="12"/>
      <c r="CM2" s="13" t="str">
        <f>"クライアント名"&amp;CM$1</f>
        <v>クライアント名199</v>
      </c>
      <c r="CN2" s="11">
        <f ca="1">OFFSET(Gemini抽出データ!$A$1,CM1,2)</f>
        <v>0</v>
      </c>
      <c r="CO2" s="11"/>
      <c r="CP2" s="10" t="str">
        <f>"クライアント名"&amp;CP$1</f>
        <v>クライアント名200</v>
      </c>
      <c r="CQ2" s="11">
        <f ca="1">OFFSET(Gemini抽出データ!$A$1,CP1,2)</f>
        <v>0</v>
      </c>
      <c r="CR2" s="12"/>
      <c r="CS2" s="10" t="str">
        <f>"クライアント名"&amp;CS$1</f>
        <v>クライアント名225</v>
      </c>
      <c r="CT2" s="11">
        <f ca="1">OFFSET(Gemini抽出データ!$A$1,CS1,2)</f>
        <v>0</v>
      </c>
      <c r="CU2" s="11"/>
      <c r="CV2" s="10" t="str">
        <f>"クライアント名"&amp;CV$1</f>
        <v>クライアント名226</v>
      </c>
      <c r="CW2" s="11">
        <f ca="1">OFFSET(Gemini抽出データ!$A$1,CV1,2)</f>
        <v>0</v>
      </c>
      <c r="CX2" s="12"/>
      <c r="CY2" s="13" t="str">
        <f>"クライアント名"&amp;CY$1</f>
        <v>クライアント名227</v>
      </c>
      <c r="CZ2" s="11">
        <f ca="1">OFFSET(Gemini抽出データ!$A$1,CY1,2)</f>
        <v>0</v>
      </c>
      <c r="DA2" s="11"/>
      <c r="DB2" s="10" t="str">
        <f>"クライアント名"&amp;DB$1</f>
        <v>クライアント名228</v>
      </c>
      <c r="DC2" s="11">
        <f ca="1">OFFSET(Gemini抽出データ!$A$1,DB1,2)</f>
        <v>0</v>
      </c>
      <c r="DD2" s="12"/>
      <c r="DE2" s="10" t="str">
        <f>"クライアント名"&amp;DE$1</f>
        <v>クライアント名253</v>
      </c>
      <c r="DF2" s="11">
        <f ca="1">OFFSET(Gemini抽出データ!$A$1,DE1,2)</f>
        <v>0</v>
      </c>
      <c r="DG2" s="11"/>
      <c r="DH2" s="10" t="str">
        <f>"クライアント名"&amp;DH$1</f>
        <v>クライアント名254</v>
      </c>
      <c r="DI2" s="11">
        <f ca="1">OFFSET(Gemini抽出データ!$A$1,DH1,2)</f>
        <v>0</v>
      </c>
      <c r="DJ2" s="12"/>
      <c r="DK2" s="13" t="str">
        <f>"クライアント名"&amp;DK$1</f>
        <v>クライアント名255</v>
      </c>
      <c r="DL2" s="11">
        <f ca="1">OFFSET(Gemini抽出データ!$A$1,DK1,2)</f>
        <v>0</v>
      </c>
      <c r="DM2" s="11"/>
      <c r="DN2" s="10" t="str">
        <f>"クライアント名"&amp;DN$1</f>
        <v>クライアント名256</v>
      </c>
      <c r="DO2" s="11">
        <f ca="1">OFFSET(Gemini抽出データ!$A$1,DN1,2)</f>
        <v>0</v>
      </c>
      <c r="DP2" s="12"/>
      <c r="DQ2" s="10" t="str">
        <f>"クライアント名"&amp;DQ$1</f>
        <v>クライアント名281</v>
      </c>
      <c r="DR2" s="11">
        <f ca="1">OFFSET(Gemini抽出データ!$A$1,DQ1,2)</f>
        <v>0</v>
      </c>
      <c r="DS2" s="11"/>
      <c r="DT2" s="10" t="str">
        <f>"クライアント名"&amp;DT$1</f>
        <v>クライアント名282</v>
      </c>
      <c r="DU2" s="11">
        <f ca="1">OFFSET(Gemini抽出データ!$A$1,DT1,2)</f>
        <v>0</v>
      </c>
      <c r="DV2" s="12"/>
      <c r="DW2" s="13" t="str">
        <f>"クライアント名"&amp;DW$1</f>
        <v>クライアント名283</v>
      </c>
      <c r="DX2" s="11">
        <f ca="1">OFFSET(Gemini抽出データ!$A$1,DW1,2)</f>
        <v>0</v>
      </c>
      <c r="DY2" s="11"/>
      <c r="DZ2" s="10" t="str">
        <f>"クライアント名"&amp;DZ$1</f>
        <v>クライアント名284</v>
      </c>
      <c r="EA2" s="11">
        <f ca="1">OFFSET(Gemini抽出データ!$A$1,DZ1,2)</f>
        <v>0</v>
      </c>
      <c r="EB2" s="12"/>
      <c r="EC2" s="10" t="str">
        <f>"クライアント名"&amp;EC$1</f>
        <v>クライアント名309</v>
      </c>
      <c r="ED2" s="11">
        <f ca="1">OFFSET(Gemini抽出データ!$A$1,EC1,2)</f>
        <v>0</v>
      </c>
      <c r="EE2" s="11"/>
      <c r="EF2" s="10" t="str">
        <f>"クライアント名"&amp;EF$1</f>
        <v>クライアント名310</v>
      </c>
      <c r="EG2" s="11">
        <f ca="1">OFFSET(Gemini抽出データ!$A$1,EF1,2)</f>
        <v>0</v>
      </c>
      <c r="EH2" s="12"/>
      <c r="EI2" s="13" t="str">
        <f>"クライアント名"&amp;EI$1</f>
        <v>クライアント名311</v>
      </c>
      <c r="EJ2" s="11">
        <f ca="1">OFFSET(Gemini抽出データ!$A$1,EI1,2)</f>
        <v>0</v>
      </c>
      <c r="EK2" s="11"/>
      <c r="EL2" s="10" t="str">
        <f>"クライアント名"&amp;EL$1</f>
        <v>クライアント名312</v>
      </c>
      <c r="EM2" s="11">
        <f ca="1">OFFSET(Gemini抽出データ!$A$1,EL1,2)</f>
        <v>0</v>
      </c>
      <c r="EN2" s="12"/>
      <c r="EO2" s="10" t="str">
        <f>"クライアント名"&amp;EO$1</f>
        <v>クライアント名337</v>
      </c>
      <c r="EP2" s="11">
        <f ca="1">OFFSET(Gemini抽出データ!$A$1,EO1,2)</f>
        <v>0</v>
      </c>
      <c r="EQ2" s="11"/>
      <c r="ER2" s="10" t="str">
        <f>"クライアント名"&amp;ER$1</f>
        <v>クライアント名338</v>
      </c>
      <c r="ES2" s="11">
        <f ca="1">OFFSET(Gemini抽出データ!$A$1,ER1,2)</f>
        <v>0</v>
      </c>
      <c r="ET2" s="12"/>
      <c r="EU2" s="13" t="str">
        <f>"クライアント名"&amp;EU$1</f>
        <v>クライアント名339</v>
      </c>
      <c r="EV2" s="11">
        <f ca="1">OFFSET(Gemini抽出データ!$A$1,EU1,2)</f>
        <v>0</v>
      </c>
      <c r="EW2" s="11"/>
      <c r="EX2" s="10" t="str">
        <f>"クライアント名"&amp;EX$1</f>
        <v>クライアント名340</v>
      </c>
      <c r="EY2" s="11">
        <f ca="1">OFFSET(Gemini抽出データ!$A$1,EX1,2)</f>
        <v>0</v>
      </c>
      <c r="EZ2" s="12"/>
      <c r="FA2" s="10" t="str">
        <f>"クライアント名"&amp;FA$1</f>
        <v>クライアント名365</v>
      </c>
      <c r="FB2" s="11">
        <f ca="1">OFFSET(Gemini抽出データ!$A$1,FA1,2)</f>
        <v>0</v>
      </c>
      <c r="FC2" s="11"/>
      <c r="FD2" s="10" t="str">
        <f>"クライアント名"&amp;FD$1</f>
        <v>クライアント名366</v>
      </c>
      <c r="FE2" s="11">
        <f ca="1">OFFSET(Gemini抽出データ!$A$1,FD1,2)</f>
        <v>0</v>
      </c>
      <c r="FF2" s="12"/>
      <c r="FG2" s="13" t="str">
        <f>"クライアント名"&amp;FG$1</f>
        <v>クライアント名367</v>
      </c>
      <c r="FH2" s="11">
        <f ca="1">OFFSET(Gemini抽出データ!$A$1,FG1,2)</f>
        <v>0</v>
      </c>
      <c r="FI2" s="11"/>
      <c r="FJ2" s="10" t="str">
        <f>"クライアント名"&amp;FJ$1</f>
        <v>クライアント名368</v>
      </c>
      <c r="FK2" s="11">
        <f ca="1">OFFSET(Gemini抽出データ!$A$1,FJ1,2)</f>
        <v>0</v>
      </c>
      <c r="FL2" s="12"/>
      <c r="FM2" s="10" t="str">
        <f>"クライアント名"&amp;FM$1</f>
        <v>クライアント名393</v>
      </c>
      <c r="FN2" s="11">
        <f ca="1">OFFSET(Gemini抽出データ!$A$1,FM1,2)</f>
        <v>0</v>
      </c>
      <c r="FO2" s="11"/>
      <c r="FP2" s="10" t="str">
        <f>"クライアント名"&amp;FP$1</f>
        <v>クライアント名394</v>
      </c>
      <c r="FQ2" s="11">
        <f ca="1">OFFSET(Gemini抽出データ!$A$1,FP1,2)</f>
        <v>0</v>
      </c>
      <c r="FR2" s="12"/>
      <c r="FS2" s="13" t="str">
        <f>"クライアント名"&amp;FS$1</f>
        <v>クライアント名395</v>
      </c>
      <c r="FT2" s="11">
        <f ca="1">OFFSET(Gemini抽出データ!$A$1,FS1,2)</f>
        <v>0</v>
      </c>
      <c r="FU2" s="11"/>
      <c r="FV2" s="10" t="str">
        <f>"クライアント名"&amp;FV$1</f>
        <v>クライアント名396</v>
      </c>
      <c r="FW2" s="11">
        <f ca="1">OFFSET(Gemini抽出データ!$A$1,FV1,2)</f>
        <v>0</v>
      </c>
      <c r="FX2" s="12"/>
      <c r="FY2" s="10" t="str">
        <f>"クライアント名"&amp;FY$1</f>
        <v>クライアント名421</v>
      </c>
      <c r="FZ2" s="11">
        <f ca="1">OFFSET(Gemini抽出データ!$A$1,FY1,2)</f>
        <v>0</v>
      </c>
      <c r="GA2" s="11"/>
      <c r="GB2" s="10" t="str">
        <f>"クライアント名"&amp;GB$1</f>
        <v>クライアント名422</v>
      </c>
      <c r="GC2" s="11">
        <f ca="1">OFFSET(Gemini抽出データ!$A$1,GB1,2)</f>
        <v>0</v>
      </c>
      <c r="GD2" s="12"/>
      <c r="GE2" s="13" t="str">
        <f>"クライアント名"&amp;GE$1</f>
        <v>クライアント名423</v>
      </c>
      <c r="GF2" s="11">
        <f ca="1">OFFSET(Gemini抽出データ!$A$1,GE1,2)</f>
        <v>0</v>
      </c>
      <c r="GG2" s="11"/>
      <c r="GH2" s="10" t="str">
        <f>"クライアント名"&amp;GH$1</f>
        <v>クライアント名424</v>
      </c>
      <c r="GI2" s="11">
        <f ca="1">OFFSET(Gemini抽出データ!$A$1,GH1,2)</f>
        <v>0</v>
      </c>
      <c r="GJ2" s="12"/>
      <c r="GK2" s="10" t="str">
        <f>"クライアント名"&amp;GK$1</f>
        <v>クライアント名449</v>
      </c>
      <c r="GL2" s="11">
        <f ca="1">OFFSET(Gemini抽出データ!$A$1,GK1,2)</f>
        <v>0</v>
      </c>
      <c r="GM2" s="11"/>
      <c r="GN2" s="10" t="str">
        <f>"クライアント名"&amp;GN$1</f>
        <v>クライアント名450</v>
      </c>
      <c r="GO2" s="11">
        <f ca="1">OFFSET(Gemini抽出データ!$A$1,GN1,2)</f>
        <v>0</v>
      </c>
      <c r="GP2" s="12"/>
      <c r="GQ2" s="13" t="str">
        <f>"クライアント名"&amp;GQ$1</f>
        <v>クライアント名451</v>
      </c>
      <c r="GR2" s="11">
        <f ca="1">OFFSET(Gemini抽出データ!$A$1,GQ1,2)</f>
        <v>0</v>
      </c>
      <c r="GS2" s="11"/>
      <c r="GT2" s="10" t="str">
        <f>"クライアント名"&amp;GT$1</f>
        <v>クライアント名452</v>
      </c>
      <c r="GU2" s="11">
        <f ca="1">OFFSET(Gemini抽出データ!$A$1,GT1,2)</f>
        <v>0</v>
      </c>
      <c r="GV2" s="12"/>
      <c r="GW2" s="10" t="str">
        <f>"クライアント名"&amp;GW$1</f>
        <v>クライアント名477</v>
      </c>
      <c r="GX2" s="11">
        <f ca="1">OFFSET(Gemini抽出データ!$A$1,GW1,2)</f>
        <v>0</v>
      </c>
      <c r="GY2" s="11"/>
      <c r="GZ2" s="10" t="str">
        <f>"クライアント名"&amp;GZ$1</f>
        <v>クライアント名478</v>
      </c>
      <c r="HA2" s="11">
        <f ca="1">OFFSET(Gemini抽出データ!$A$1,GZ1,2)</f>
        <v>0</v>
      </c>
      <c r="HB2" s="12"/>
      <c r="HC2" s="13" t="str">
        <f>"クライアント名"&amp;HC$1</f>
        <v>クライアント名479</v>
      </c>
      <c r="HD2" s="11">
        <f ca="1">OFFSET(Gemini抽出データ!$A$1,HC1,2)</f>
        <v>0</v>
      </c>
      <c r="HE2" s="11"/>
      <c r="HF2" s="10" t="str">
        <f>"クライアント名"&amp;HF$1</f>
        <v>クライアント名480</v>
      </c>
      <c r="HG2" s="11">
        <f ca="1">OFFSET(Gemini抽出データ!$A$1,HF1,2)</f>
        <v>0</v>
      </c>
      <c r="HH2" s="12"/>
      <c r="HI2" s="10" t="str">
        <f>"クライアント名"&amp;HI$1</f>
        <v>クライアント名505</v>
      </c>
      <c r="HJ2" s="11">
        <f ca="1">OFFSET(Gemini抽出データ!$A$1,HI1,2)</f>
        <v>0</v>
      </c>
      <c r="HK2" s="11"/>
      <c r="HL2" s="10" t="str">
        <f>"クライアント名"&amp;HL$1</f>
        <v>クライアント名506</v>
      </c>
      <c r="HM2" s="11">
        <f ca="1">OFFSET(Gemini抽出データ!$A$1,HL1,2)</f>
        <v>0</v>
      </c>
      <c r="HN2" s="12"/>
      <c r="HO2" s="13" t="str">
        <f>"クライアント名"&amp;HO$1</f>
        <v>クライアント名507</v>
      </c>
      <c r="HP2" s="11">
        <f ca="1">OFFSET(Gemini抽出データ!$A$1,HO1,2)</f>
        <v>0</v>
      </c>
      <c r="HQ2" s="11"/>
      <c r="HR2" s="10" t="str">
        <f>"クライアント名"&amp;HR$1</f>
        <v>クライアント名508</v>
      </c>
      <c r="HS2" s="11">
        <f ca="1">OFFSET(Gemini抽出データ!$A$1,HR1,2)</f>
        <v>0</v>
      </c>
      <c r="HT2" s="12"/>
      <c r="HU2" t="e">
        <f ca="1">OFFSET(Gemini抽出データ!$A$1,#REF!,2)</f>
        <v>#REF!</v>
      </c>
    </row>
    <row r="3" spans="1:230" ht="17.100000000000001" customHeight="1" x14ac:dyDescent="0.45">
      <c r="A3" s="10" t="str">
        <f>"種類"&amp;A$1</f>
        <v>種類1</v>
      </c>
      <c r="B3" s="25" t="str">
        <f ca="1">IF(OFFSET(Gemini抽出データ!$A$1,A1,1)=0,"",OFFSET(Gemini抽出データ!$A$1,A1,1))</f>
        <v/>
      </c>
      <c r="C3" s="26"/>
      <c r="D3" s="30" t="str">
        <f>"学年"&amp;D$1</f>
        <v>学年2</v>
      </c>
      <c r="E3" s="25" t="str">
        <f ca="1">IF(OFFSET(Gemini抽出データ!$A$1,D1,1)=0,"",OFFSET(Gemini抽出データ!$A$1,D1,1))</f>
        <v/>
      </c>
      <c r="F3" s="27"/>
      <c r="G3" s="31" t="str">
        <f>"学年"&amp;G$1</f>
        <v>学年3</v>
      </c>
      <c r="H3" s="25" t="str">
        <f ca="1">IF(OFFSET(Gemini抽出データ!$A$1,G1,1)=0,"",OFFSET(Gemini抽出データ!$A$1,G1,1))</f>
        <v/>
      </c>
      <c r="I3" s="26"/>
      <c r="J3" s="30" t="str">
        <f>"学年"&amp;J$1</f>
        <v>学年4</v>
      </c>
      <c r="K3" s="25" t="str">
        <f ca="1">IF(OFFSET(Gemini抽出データ!$A$1,J1,1)=0,"",OFFSET(Gemini抽出データ!$A$1,J1,1))</f>
        <v/>
      </c>
      <c r="L3" s="27"/>
      <c r="M3" s="10" t="str">
        <f>"種類"&amp;M$1</f>
        <v>種類29</v>
      </c>
      <c r="N3" s="25" t="str">
        <f ca="1">IF(OFFSET(Gemini抽出データ!$A$1,M1,1)=0,"",OFFSET(Gemini抽出データ!$A$1,M1,1))</f>
        <v/>
      </c>
      <c r="O3" s="26"/>
      <c r="P3" s="30" t="str">
        <f>"学年"&amp;P$1</f>
        <v>学年30</v>
      </c>
      <c r="Q3" s="25" t="str">
        <f ca="1">IF(OFFSET(Gemini抽出データ!$A$1,P1,1)=0,"",OFFSET(Gemini抽出データ!$A$1,P1,1))</f>
        <v/>
      </c>
      <c r="R3" s="27"/>
      <c r="S3" s="31" t="str">
        <f>"学年"&amp;S$1</f>
        <v>学年31</v>
      </c>
      <c r="T3" s="25" t="str">
        <f ca="1">IF(OFFSET(Gemini抽出データ!$A$1,S1,1)=0,"",OFFSET(Gemini抽出データ!$A$1,S1,1))</f>
        <v/>
      </c>
      <c r="U3" s="26"/>
      <c r="V3" s="30" t="str">
        <f>"学年"&amp;V$1</f>
        <v>学年32</v>
      </c>
      <c r="W3" s="25" t="str">
        <f ca="1">IF(OFFSET(Gemini抽出データ!$A$1,V1,1)=0,"",OFFSET(Gemini抽出データ!$A$1,V1,1))</f>
        <v/>
      </c>
      <c r="X3" s="27"/>
      <c r="Y3" s="10" t="str">
        <f>"種類"&amp;Y$1</f>
        <v>種類57</v>
      </c>
      <c r="Z3" s="25" t="str">
        <f ca="1">IF(OFFSET(Gemini抽出データ!$A$1,Y1,1)=0,"",OFFSET(Gemini抽出データ!$A$1,Y1,1))</f>
        <v/>
      </c>
      <c r="AA3" s="26"/>
      <c r="AB3" s="30" t="str">
        <f>"学年"&amp;AB$1</f>
        <v>学年58</v>
      </c>
      <c r="AC3" s="25" t="str">
        <f ca="1">IF(OFFSET(Gemini抽出データ!$A$1,AB1,1)=0,"",OFFSET(Gemini抽出データ!$A$1,AB1,1))</f>
        <v/>
      </c>
      <c r="AD3" s="27"/>
      <c r="AE3" s="31" t="str">
        <f>"学年"&amp;AE$1</f>
        <v>学年59</v>
      </c>
      <c r="AF3" s="25" t="str">
        <f ca="1">IF(OFFSET(Gemini抽出データ!$A$1,AE1,1)=0,"",OFFSET(Gemini抽出データ!$A$1,AE1,1))</f>
        <v/>
      </c>
      <c r="AG3" s="26"/>
      <c r="AH3" s="30" t="str">
        <f>"学年"&amp;AH$1</f>
        <v>学年60</v>
      </c>
      <c r="AI3" s="25" t="str">
        <f ca="1">IF(OFFSET(Gemini抽出データ!$A$1,AH1,1)=0,"",OFFSET(Gemini抽出データ!$A$1,AH1,1))</f>
        <v/>
      </c>
      <c r="AJ3" s="27"/>
      <c r="AK3" s="10" t="str">
        <f>"種類"&amp;AK$1</f>
        <v>種類85</v>
      </c>
      <c r="AL3" s="25" t="str">
        <f ca="1">IF(OFFSET(Gemini抽出データ!$A$1,AK1,1)=0,"",OFFSET(Gemini抽出データ!$A$1,AK1,1))</f>
        <v/>
      </c>
      <c r="AM3" s="26"/>
      <c r="AN3" s="30" t="str">
        <f>"学年"&amp;AN$1</f>
        <v>学年86</v>
      </c>
      <c r="AO3" s="25" t="str">
        <f ca="1">IF(OFFSET(Gemini抽出データ!$A$1,AN1,1)=0,"",OFFSET(Gemini抽出データ!$A$1,AN1,1))</f>
        <v/>
      </c>
      <c r="AP3" s="27"/>
      <c r="AQ3" s="31" t="str">
        <f>"学年"&amp;AQ$1</f>
        <v>学年87</v>
      </c>
      <c r="AR3" s="25" t="str">
        <f ca="1">IF(OFFSET(Gemini抽出データ!$A$1,AQ1,1)=0,"",OFFSET(Gemini抽出データ!$A$1,AQ1,1))</f>
        <v/>
      </c>
      <c r="AS3" s="26"/>
      <c r="AT3" s="30" t="str">
        <f>"学年"&amp;AT$1</f>
        <v>学年88</v>
      </c>
      <c r="AU3" s="25" t="str">
        <f ca="1">IF(OFFSET(Gemini抽出データ!$A$1,AT1,1)=0,"",OFFSET(Gemini抽出データ!$A$1,AT1,1))</f>
        <v/>
      </c>
      <c r="AV3" s="27"/>
      <c r="AW3" s="10" t="str">
        <f>"種類"&amp;AW$1</f>
        <v>種類113</v>
      </c>
      <c r="AX3" s="25" t="str">
        <f ca="1">IF(OFFSET(Gemini抽出データ!$A$1,AW1,1)=0,"",OFFSET(Gemini抽出データ!$A$1,AW1,1))</f>
        <v/>
      </c>
      <c r="AY3" s="26"/>
      <c r="AZ3" s="30" t="str">
        <f>"学年"&amp;AZ$1</f>
        <v>学年114</v>
      </c>
      <c r="BA3" s="25" t="str">
        <f ca="1">IF(OFFSET(Gemini抽出データ!$A$1,AZ1,1)=0,"",OFFSET(Gemini抽出データ!$A$1,AZ1,1))</f>
        <v/>
      </c>
      <c r="BB3" s="27"/>
      <c r="BC3" s="31" t="str">
        <f>"学年"&amp;BC$1</f>
        <v>学年115</v>
      </c>
      <c r="BD3" s="25" t="str">
        <f ca="1">IF(OFFSET(Gemini抽出データ!$A$1,BC1,1)=0,"",OFFSET(Gemini抽出データ!$A$1,BC1,1))</f>
        <v/>
      </c>
      <c r="BE3" s="26"/>
      <c r="BF3" s="30" t="str">
        <f>"学年"&amp;BF$1</f>
        <v>学年116</v>
      </c>
      <c r="BG3" s="25" t="str">
        <f ca="1">IF(OFFSET(Gemini抽出データ!$A$1,BF1,1)=0,"",OFFSET(Gemini抽出データ!$A$1,BF1,1))</f>
        <v/>
      </c>
      <c r="BH3" s="27"/>
      <c r="BI3" s="10" t="str">
        <f>"種類"&amp;BI$1</f>
        <v>種類141</v>
      </c>
      <c r="BJ3" s="25" t="str">
        <f ca="1">IF(OFFSET(Gemini抽出データ!$A$1,BI1,1)=0,"",OFFSET(Gemini抽出データ!$A$1,BI1,1))</f>
        <v/>
      </c>
      <c r="BK3" s="26"/>
      <c r="BL3" s="30" t="str">
        <f>"学年"&amp;BL$1</f>
        <v>学年142</v>
      </c>
      <c r="BM3" s="25" t="str">
        <f ca="1">IF(OFFSET(Gemini抽出データ!$A$1,BL1,1)=0,"",OFFSET(Gemini抽出データ!$A$1,BL1,1))</f>
        <v/>
      </c>
      <c r="BN3" s="27"/>
      <c r="BO3" s="31" t="str">
        <f>"学年"&amp;BO$1</f>
        <v>学年143</v>
      </c>
      <c r="BP3" s="25" t="str">
        <f ca="1">IF(OFFSET(Gemini抽出データ!$A$1,BO1,1)=0,"",OFFSET(Gemini抽出データ!$A$1,BO1,1))</f>
        <v/>
      </c>
      <c r="BQ3" s="26"/>
      <c r="BR3" s="30" t="str">
        <f>"学年"&amp;BR$1</f>
        <v>学年144</v>
      </c>
      <c r="BS3" s="25" t="str">
        <f ca="1">IF(OFFSET(Gemini抽出データ!$A$1,BR1,1)=0,"",OFFSET(Gemini抽出データ!$A$1,BR1,1))</f>
        <v/>
      </c>
      <c r="BT3" s="27"/>
      <c r="BU3" s="10" t="str">
        <f>"種類"&amp;BU$1</f>
        <v>種類169</v>
      </c>
      <c r="BV3" s="25" t="str">
        <f ca="1">IF(OFFSET(Gemini抽出データ!$A$1,BU1,1)=0,"",OFFSET(Gemini抽出データ!$A$1,BU1,1))</f>
        <v/>
      </c>
      <c r="BW3" s="26"/>
      <c r="BX3" s="30" t="str">
        <f>"学年"&amp;BX$1</f>
        <v>学年170</v>
      </c>
      <c r="BY3" s="25" t="str">
        <f ca="1">IF(OFFSET(Gemini抽出データ!$A$1,BX1,1)=0,"",OFFSET(Gemini抽出データ!$A$1,BX1,1))</f>
        <v/>
      </c>
      <c r="BZ3" s="27"/>
      <c r="CA3" s="31" t="str">
        <f>"学年"&amp;CA$1</f>
        <v>学年171</v>
      </c>
      <c r="CB3" s="25" t="str">
        <f ca="1">IF(OFFSET(Gemini抽出データ!$A$1,CA1,1)=0,"",OFFSET(Gemini抽出データ!$A$1,CA1,1))</f>
        <v/>
      </c>
      <c r="CC3" s="26"/>
      <c r="CD3" s="30" t="str">
        <f>"学年"&amp;CD$1</f>
        <v>学年172</v>
      </c>
      <c r="CE3" s="25" t="str">
        <f ca="1">IF(OFFSET(Gemini抽出データ!$A$1,CD1,1)=0,"",OFFSET(Gemini抽出データ!$A$1,CD1,1))</f>
        <v/>
      </c>
      <c r="CF3" s="27"/>
      <c r="CG3" s="10" t="str">
        <f>"種類"&amp;CG$1</f>
        <v>種類197</v>
      </c>
      <c r="CH3" s="25" t="str">
        <f ca="1">IF(OFFSET(Gemini抽出データ!$A$1,CG1,1)=0,"",OFFSET(Gemini抽出データ!$A$1,CG1,1))</f>
        <v/>
      </c>
      <c r="CI3" s="26"/>
      <c r="CJ3" s="30" t="str">
        <f>"学年"&amp;CJ$1</f>
        <v>学年198</v>
      </c>
      <c r="CK3" s="25" t="str">
        <f ca="1">IF(OFFSET(Gemini抽出データ!$A$1,CJ1,1)=0,"",OFFSET(Gemini抽出データ!$A$1,CJ1,1))</f>
        <v/>
      </c>
      <c r="CL3" s="27"/>
      <c r="CM3" s="31" t="str">
        <f>"学年"&amp;CM$1</f>
        <v>学年199</v>
      </c>
      <c r="CN3" s="25" t="str">
        <f ca="1">IF(OFFSET(Gemini抽出データ!$A$1,CM1,1)=0,"",OFFSET(Gemini抽出データ!$A$1,CM1,1))</f>
        <v/>
      </c>
      <c r="CO3" s="26"/>
      <c r="CP3" s="30" t="str">
        <f>"学年"&amp;CP$1</f>
        <v>学年200</v>
      </c>
      <c r="CQ3" s="25" t="str">
        <f ca="1">IF(OFFSET(Gemini抽出データ!$A$1,CP1,1)=0,"",OFFSET(Gemini抽出データ!$A$1,CP1,1))</f>
        <v/>
      </c>
      <c r="CR3" s="27"/>
      <c r="CS3" s="10" t="str">
        <f>"種類"&amp;CS$1</f>
        <v>種類225</v>
      </c>
      <c r="CT3" s="25" t="str">
        <f ca="1">IF(OFFSET(Gemini抽出データ!$A$1,CS1,1)=0,"",OFFSET(Gemini抽出データ!$A$1,CS1,1))</f>
        <v/>
      </c>
      <c r="CU3" s="26"/>
      <c r="CV3" s="30" t="str">
        <f>"学年"&amp;CV$1</f>
        <v>学年226</v>
      </c>
      <c r="CW3" s="25" t="str">
        <f ca="1">IF(OFFSET(Gemini抽出データ!$A$1,CV1,1)=0,"",OFFSET(Gemini抽出データ!$A$1,CV1,1))</f>
        <v/>
      </c>
      <c r="CX3" s="27"/>
      <c r="CY3" s="31" t="str">
        <f>"学年"&amp;CY$1</f>
        <v>学年227</v>
      </c>
      <c r="CZ3" s="25" t="str">
        <f ca="1">IF(OFFSET(Gemini抽出データ!$A$1,CY1,1)=0,"",OFFSET(Gemini抽出データ!$A$1,CY1,1))</f>
        <v/>
      </c>
      <c r="DA3" s="26"/>
      <c r="DB3" s="30" t="str">
        <f>"学年"&amp;DB$1</f>
        <v>学年228</v>
      </c>
      <c r="DC3" s="25" t="str">
        <f ca="1">IF(OFFSET(Gemini抽出データ!$A$1,DB1,1)=0,"",OFFSET(Gemini抽出データ!$A$1,DB1,1))</f>
        <v/>
      </c>
      <c r="DD3" s="27"/>
      <c r="DE3" s="10" t="str">
        <f>"種類"&amp;DE$1</f>
        <v>種類253</v>
      </c>
      <c r="DF3" s="25" t="str">
        <f ca="1">IF(OFFSET(Gemini抽出データ!$A$1,DE1,1)=0,"",OFFSET(Gemini抽出データ!$A$1,DE1,1))</f>
        <v/>
      </c>
      <c r="DG3" s="26"/>
      <c r="DH3" s="30" t="str">
        <f>"学年"&amp;DH$1</f>
        <v>学年254</v>
      </c>
      <c r="DI3" s="25" t="str">
        <f ca="1">IF(OFFSET(Gemini抽出データ!$A$1,DH1,1)=0,"",OFFSET(Gemini抽出データ!$A$1,DH1,1))</f>
        <v/>
      </c>
      <c r="DJ3" s="27"/>
      <c r="DK3" s="31" t="str">
        <f>"学年"&amp;DK$1</f>
        <v>学年255</v>
      </c>
      <c r="DL3" s="25" t="str">
        <f ca="1">IF(OFFSET(Gemini抽出データ!$A$1,DK1,1)=0,"",OFFSET(Gemini抽出データ!$A$1,DK1,1))</f>
        <v/>
      </c>
      <c r="DM3" s="26"/>
      <c r="DN3" s="30" t="str">
        <f>"学年"&amp;DN$1</f>
        <v>学年256</v>
      </c>
      <c r="DO3" s="25" t="str">
        <f ca="1">IF(OFFSET(Gemini抽出データ!$A$1,DN1,1)=0,"",OFFSET(Gemini抽出データ!$A$1,DN1,1))</f>
        <v/>
      </c>
      <c r="DP3" s="27"/>
      <c r="DQ3" s="10" t="str">
        <f>"種類"&amp;DQ$1</f>
        <v>種類281</v>
      </c>
      <c r="DR3" s="25" t="str">
        <f ca="1">IF(OFFSET(Gemini抽出データ!$A$1,DQ1,1)=0,"",OFFSET(Gemini抽出データ!$A$1,DQ1,1))</f>
        <v/>
      </c>
      <c r="DS3" s="26"/>
      <c r="DT3" s="30" t="str">
        <f>"学年"&amp;DT$1</f>
        <v>学年282</v>
      </c>
      <c r="DU3" s="25" t="str">
        <f ca="1">IF(OFFSET(Gemini抽出データ!$A$1,DT1,1)=0,"",OFFSET(Gemini抽出データ!$A$1,DT1,1))</f>
        <v/>
      </c>
      <c r="DV3" s="27"/>
      <c r="DW3" s="31" t="str">
        <f>"学年"&amp;DW$1</f>
        <v>学年283</v>
      </c>
      <c r="DX3" s="25" t="str">
        <f ca="1">IF(OFFSET(Gemini抽出データ!$A$1,DW1,1)=0,"",OFFSET(Gemini抽出データ!$A$1,DW1,1))</f>
        <v/>
      </c>
      <c r="DY3" s="26"/>
      <c r="DZ3" s="30" t="str">
        <f>"学年"&amp;DZ$1</f>
        <v>学年284</v>
      </c>
      <c r="EA3" s="25" t="str">
        <f ca="1">IF(OFFSET(Gemini抽出データ!$A$1,DZ1,1)=0,"",OFFSET(Gemini抽出データ!$A$1,DZ1,1))</f>
        <v/>
      </c>
      <c r="EB3" s="27"/>
      <c r="EC3" s="10" t="str">
        <f>"種類"&amp;EC$1</f>
        <v>種類309</v>
      </c>
      <c r="ED3" s="25" t="str">
        <f ca="1">IF(OFFSET(Gemini抽出データ!$A$1,EC1,1)=0,"",OFFSET(Gemini抽出データ!$A$1,EC1,1))</f>
        <v/>
      </c>
      <c r="EE3" s="26"/>
      <c r="EF3" s="30" t="str">
        <f>"学年"&amp;EF$1</f>
        <v>学年310</v>
      </c>
      <c r="EG3" s="25" t="str">
        <f ca="1">IF(OFFSET(Gemini抽出データ!$A$1,EF1,1)=0,"",OFFSET(Gemini抽出データ!$A$1,EF1,1))</f>
        <v/>
      </c>
      <c r="EH3" s="27"/>
      <c r="EI3" s="31" t="str">
        <f>"学年"&amp;EI$1</f>
        <v>学年311</v>
      </c>
      <c r="EJ3" s="25" t="str">
        <f ca="1">IF(OFFSET(Gemini抽出データ!$A$1,EI1,1)=0,"",OFFSET(Gemini抽出データ!$A$1,EI1,1))</f>
        <v/>
      </c>
      <c r="EK3" s="26"/>
      <c r="EL3" s="30" t="str">
        <f>"学年"&amp;EL$1</f>
        <v>学年312</v>
      </c>
      <c r="EM3" s="25" t="str">
        <f ca="1">IF(OFFSET(Gemini抽出データ!$A$1,EL1,1)=0,"",OFFSET(Gemini抽出データ!$A$1,EL1,1))</f>
        <v/>
      </c>
      <c r="EN3" s="27"/>
      <c r="EO3" s="10" t="str">
        <f>"種類"&amp;EO$1</f>
        <v>種類337</v>
      </c>
      <c r="EP3" s="25" t="str">
        <f ca="1">IF(OFFSET(Gemini抽出データ!$A$1,EO1,1)=0,"",OFFSET(Gemini抽出データ!$A$1,EO1,1))</f>
        <v/>
      </c>
      <c r="EQ3" s="26"/>
      <c r="ER3" s="30" t="str">
        <f>"学年"&amp;ER$1</f>
        <v>学年338</v>
      </c>
      <c r="ES3" s="25" t="str">
        <f ca="1">IF(OFFSET(Gemini抽出データ!$A$1,ER1,1)=0,"",OFFSET(Gemini抽出データ!$A$1,ER1,1))</f>
        <v/>
      </c>
      <c r="ET3" s="27"/>
      <c r="EU3" s="31" t="str">
        <f>"学年"&amp;EU$1</f>
        <v>学年339</v>
      </c>
      <c r="EV3" s="25" t="str">
        <f ca="1">IF(OFFSET(Gemini抽出データ!$A$1,EU1,1)=0,"",OFFSET(Gemini抽出データ!$A$1,EU1,1))</f>
        <v/>
      </c>
      <c r="EW3" s="26"/>
      <c r="EX3" s="30" t="str">
        <f>"学年"&amp;EX$1</f>
        <v>学年340</v>
      </c>
      <c r="EY3" s="25" t="str">
        <f ca="1">IF(OFFSET(Gemini抽出データ!$A$1,EX1,1)=0,"",OFFSET(Gemini抽出データ!$A$1,EX1,1))</f>
        <v/>
      </c>
      <c r="EZ3" s="27"/>
      <c r="FA3" s="10" t="str">
        <f>"種類"&amp;FA$1</f>
        <v>種類365</v>
      </c>
      <c r="FB3" s="25" t="str">
        <f ca="1">IF(OFFSET(Gemini抽出データ!$A$1,FA1,1)=0,"",OFFSET(Gemini抽出データ!$A$1,FA1,1))</f>
        <v/>
      </c>
      <c r="FC3" s="26"/>
      <c r="FD3" s="30" t="str">
        <f>"学年"&amp;FD$1</f>
        <v>学年366</v>
      </c>
      <c r="FE3" s="25" t="str">
        <f ca="1">IF(OFFSET(Gemini抽出データ!$A$1,FD1,1)=0,"",OFFSET(Gemini抽出データ!$A$1,FD1,1))</f>
        <v/>
      </c>
      <c r="FF3" s="27"/>
      <c r="FG3" s="31" t="str">
        <f>"学年"&amp;FG$1</f>
        <v>学年367</v>
      </c>
      <c r="FH3" s="25" t="str">
        <f ca="1">IF(OFFSET(Gemini抽出データ!$A$1,FG1,1)=0,"",OFFSET(Gemini抽出データ!$A$1,FG1,1))</f>
        <v/>
      </c>
      <c r="FI3" s="26"/>
      <c r="FJ3" s="30" t="str">
        <f>"学年"&amp;FJ$1</f>
        <v>学年368</v>
      </c>
      <c r="FK3" s="25" t="str">
        <f ca="1">IF(OFFSET(Gemini抽出データ!$A$1,FJ1,1)=0,"",OFFSET(Gemini抽出データ!$A$1,FJ1,1))</f>
        <v/>
      </c>
      <c r="FL3" s="27"/>
      <c r="FM3" s="10" t="str">
        <f>"種類"&amp;FM$1</f>
        <v>種類393</v>
      </c>
      <c r="FN3" s="25" t="str">
        <f ca="1">IF(OFFSET(Gemini抽出データ!$A$1,FM1,1)=0,"",OFFSET(Gemini抽出データ!$A$1,FM1,1))</f>
        <v/>
      </c>
      <c r="FO3" s="26"/>
      <c r="FP3" s="30" t="str">
        <f>"学年"&amp;FP$1</f>
        <v>学年394</v>
      </c>
      <c r="FQ3" s="25" t="str">
        <f ca="1">IF(OFFSET(Gemini抽出データ!$A$1,FP1,1)=0,"",OFFSET(Gemini抽出データ!$A$1,FP1,1))</f>
        <v/>
      </c>
      <c r="FR3" s="27"/>
      <c r="FS3" s="31" t="str">
        <f>"学年"&amp;FS$1</f>
        <v>学年395</v>
      </c>
      <c r="FT3" s="25" t="str">
        <f ca="1">IF(OFFSET(Gemini抽出データ!$A$1,FS1,1)=0,"",OFFSET(Gemini抽出データ!$A$1,FS1,1))</f>
        <v/>
      </c>
      <c r="FU3" s="26"/>
      <c r="FV3" s="30" t="str">
        <f>"学年"&amp;FV$1</f>
        <v>学年396</v>
      </c>
      <c r="FW3" s="25" t="str">
        <f ca="1">IF(OFFSET(Gemini抽出データ!$A$1,FV1,1)=0,"",OFFSET(Gemini抽出データ!$A$1,FV1,1))</f>
        <v/>
      </c>
      <c r="FX3" s="27"/>
      <c r="FY3" s="10" t="str">
        <f>"種類"&amp;FY$1</f>
        <v>種類421</v>
      </c>
      <c r="FZ3" s="25" t="str">
        <f ca="1">IF(OFFSET(Gemini抽出データ!$A$1,FY1,1)=0,"",OFFSET(Gemini抽出データ!$A$1,FY1,1))</f>
        <v/>
      </c>
      <c r="GA3" s="26"/>
      <c r="GB3" s="30" t="str">
        <f>"学年"&amp;GB$1</f>
        <v>学年422</v>
      </c>
      <c r="GC3" s="25" t="str">
        <f ca="1">IF(OFFSET(Gemini抽出データ!$A$1,GB1,1)=0,"",OFFSET(Gemini抽出データ!$A$1,GB1,1))</f>
        <v/>
      </c>
      <c r="GD3" s="27"/>
      <c r="GE3" s="31" t="str">
        <f>"学年"&amp;GE$1</f>
        <v>学年423</v>
      </c>
      <c r="GF3" s="25" t="str">
        <f ca="1">IF(OFFSET(Gemini抽出データ!$A$1,GE1,1)=0,"",OFFSET(Gemini抽出データ!$A$1,GE1,1))</f>
        <v/>
      </c>
      <c r="GG3" s="26"/>
      <c r="GH3" s="30" t="str">
        <f>"学年"&amp;GH$1</f>
        <v>学年424</v>
      </c>
      <c r="GI3" s="25" t="str">
        <f ca="1">IF(OFFSET(Gemini抽出データ!$A$1,GH1,1)=0,"",OFFSET(Gemini抽出データ!$A$1,GH1,1))</f>
        <v/>
      </c>
      <c r="GJ3" s="27"/>
      <c r="GK3" s="10" t="str">
        <f>"種類"&amp;GK$1</f>
        <v>種類449</v>
      </c>
      <c r="GL3" s="25" t="str">
        <f ca="1">IF(OFFSET(Gemini抽出データ!$A$1,GK1,1)=0,"",OFFSET(Gemini抽出データ!$A$1,GK1,1))</f>
        <v/>
      </c>
      <c r="GM3" s="26"/>
      <c r="GN3" s="30" t="str">
        <f>"学年"&amp;GN$1</f>
        <v>学年450</v>
      </c>
      <c r="GO3" s="25" t="str">
        <f ca="1">IF(OFFSET(Gemini抽出データ!$A$1,GN1,1)=0,"",OFFSET(Gemini抽出データ!$A$1,GN1,1))</f>
        <v/>
      </c>
      <c r="GP3" s="27"/>
      <c r="GQ3" s="31" t="str">
        <f>"学年"&amp;GQ$1</f>
        <v>学年451</v>
      </c>
      <c r="GR3" s="25" t="str">
        <f ca="1">IF(OFFSET(Gemini抽出データ!$A$1,GQ1,1)=0,"",OFFSET(Gemini抽出データ!$A$1,GQ1,1))</f>
        <v/>
      </c>
      <c r="GS3" s="26"/>
      <c r="GT3" s="30" t="str">
        <f>"学年"&amp;GT$1</f>
        <v>学年452</v>
      </c>
      <c r="GU3" s="25" t="str">
        <f ca="1">IF(OFFSET(Gemini抽出データ!$A$1,GT1,1)=0,"",OFFSET(Gemini抽出データ!$A$1,GT1,1))</f>
        <v/>
      </c>
      <c r="GV3" s="27"/>
      <c r="GW3" s="10" t="str">
        <f>"種類"&amp;GW$1</f>
        <v>種類477</v>
      </c>
      <c r="GX3" s="25" t="str">
        <f ca="1">IF(OFFSET(Gemini抽出データ!$A$1,GW1,1)=0,"",OFFSET(Gemini抽出データ!$A$1,GW1,1))</f>
        <v/>
      </c>
      <c r="GY3" s="26"/>
      <c r="GZ3" s="30" t="str">
        <f>"学年"&amp;GZ$1</f>
        <v>学年478</v>
      </c>
      <c r="HA3" s="25" t="str">
        <f ca="1">IF(OFFSET(Gemini抽出データ!$A$1,GZ1,1)=0,"",OFFSET(Gemini抽出データ!$A$1,GZ1,1))</f>
        <v/>
      </c>
      <c r="HB3" s="27"/>
      <c r="HC3" s="31" t="str">
        <f>"学年"&amp;HC$1</f>
        <v>学年479</v>
      </c>
      <c r="HD3" s="25" t="str">
        <f ca="1">IF(OFFSET(Gemini抽出データ!$A$1,HC1,1)=0,"",OFFSET(Gemini抽出データ!$A$1,HC1,1))</f>
        <v/>
      </c>
      <c r="HE3" s="26"/>
      <c r="HF3" s="30" t="str">
        <f>"学年"&amp;HF$1</f>
        <v>学年480</v>
      </c>
      <c r="HG3" s="25" t="str">
        <f ca="1">IF(OFFSET(Gemini抽出データ!$A$1,HF1,1)=0,"",OFFSET(Gemini抽出データ!$A$1,HF1,1))</f>
        <v/>
      </c>
      <c r="HH3" s="27"/>
      <c r="HI3" s="10" t="str">
        <f>"種類"&amp;HI$1</f>
        <v>種類505</v>
      </c>
      <c r="HJ3" s="25" t="str">
        <f ca="1">IF(OFFSET(Gemini抽出データ!$A$1,HI1,1)=0,"",OFFSET(Gemini抽出データ!$A$1,HI1,1))</f>
        <v/>
      </c>
      <c r="HK3" s="26"/>
      <c r="HL3" s="30" t="str">
        <f>"学年"&amp;HL$1</f>
        <v>学年506</v>
      </c>
      <c r="HM3" s="25" t="str">
        <f ca="1">IF(OFFSET(Gemini抽出データ!$A$1,HL1,1)=0,"",OFFSET(Gemini抽出データ!$A$1,HL1,1))</f>
        <v/>
      </c>
      <c r="HN3" s="27"/>
      <c r="HO3" s="31" t="str">
        <f>"学年"&amp;HO$1</f>
        <v>学年507</v>
      </c>
      <c r="HP3" s="25" t="str">
        <f ca="1">IF(OFFSET(Gemini抽出データ!$A$1,HO1,1)=0,"",OFFSET(Gemini抽出データ!$A$1,HO1,1))</f>
        <v/>
      </c>
      <c r="HQ3" s="26"/>
      <c r="HR3" s="30" t="str">
        <f>"学年"&amp;HR$1</f>
        <v>学年508</v>
      </c>
      <c r="HS3" s="25" t="str">
        <f ca="1">IF(OFFSET(Gemini抽出データ!$A$1,HR1,1)=0,"",OFFSET(Gemini抽出データ!$A$1,HR1,1))</f>
        <v/>
      </c>
      <c r="HT3" s="27"/>
      <c r="HU3" s="2" t="e">
        <f ca="1">IF(OFFSET(Gemini抽出データ!$A$1,#REF!,1)=0,"",OFFSET(Gemini抽出データ!$A$1,#REF!,1))</f>
        <v>#REF!</v>
      </c>
      <c r="HV3" s="3"/>
    </row>
    <row r="4" spans="1:230" ht="17.100000000000001" customHeight="1" x14ac:dyDescent="0.45">
      <c r="A4" s="10" t="str">
        <f>"学年"&amp;A$1</f>
        <v>学年1</v>
      </c>
      <c r="B4" s="26"/>
      <c r="C4" s="26"/>
      <c r="D4" s="30"/>
      <c r="E4" s="26"/>
      <c r="F4" s="27"/>
      <c r="G4" s="31"/>
      <c r="H4" s="26"/>
      <c r="I4" s="26"/>
      <c r="J4" s="30"/>
      <c r="K4" s="26"/>
      <c r="L4" s="27"/>
      <c r="M4" s="10" t="str">
        <f>"学年"&amp;M$1</f>
        <v>学年29</v>
      </c>
      <c r="N4" s="26"/>
      <c r="O4" s="26"/>
      <c r="P4" s="30"/>
      <c r="Q4" s="26"/>
      <c r="R4" s="27"/>
      <c r="S4" s="31"/>
      <c r="T4" s="26"/>
      <c r="U4" s="26"/>
      <c r="V4" s="30"/>
      <c r="W4" s="26"/>
      <c r="X4" s="27"/>
      <c r="Y4" s="10" t="str">
        <f>"学年"&amp;Y$1</f>
        <v>学年57</v>
      </c>
      <c r="Z4" s="26"/>
      <c r="AA4" s="26"/>
      <c r="AB4" s="30"/>
      <c r="AC4" s="26"/>
      <c r="AD4" s="27"/>
      <c r="AE4" s="31"/>
      <c r="AF4" s="26"/>
      <c r="AG4" s="26"/>
      <c r="AH4" s="30"/>
      <c r="AI4" s="26"/>
      <c r="AJ4" s="27"/>
      <c r="AK4" s="10" t="str">
        <f>"学年"&amp;AK$1</f>
        <v>学年85</v>
      </c>
      <c r="AL4" s="26"/>
      <c r="AM4" s="26"/>
      <c r="AN4" s="30"/>
      <c r="AO4" s="26"/>
      <c r="AP4" s="27"/>
      <c r="AQ4" s="31"/>
      <c r="AR4" s="26"/>
      <c r="AS4" s="26"/>
      <c r="AT4" s="30"/>
      <c r="AU4" s="26"/>
      <c r="AV4" s="27"/>
      <c r="AW4" s="10" t="str">
        <f>"学年"&amp;AW$1</f>
        <v>学年113</v>
      </c>
      <c r="AX4" s="26"/>
      <c r="AY4" s="26"/>
      <c r="AZ4" s="30"/>
      <c r="BA4" s="26"/>
      <c r="BB4" s="27"/>
      <c r="BC4" s="31"/>
      <c r="BD4" s="26"/>
      <c r="BE4" s="26"/>
      <c r="BF4" s="30"/>
      <c r="BG4" s="26"/>
      <c r="BH4" s="27"/>
      <c r="BI4" s="10" t="str">
        <f>"学年"&amp;BI$1</f>
        <v>学年141</v>
      </c>
      <c r="BJ4" s="26"/>
      <c r="BK4" s="26"/>
      <c r="BL4" s="30"/>
      <c r="BM4" s="26"/>
      <c r="BN4" s="27"/>
      <c r="BO4" s="31"/>
      <c r="BP4" s="26"/>
      <c r="BQ4" s="26"/>
      <c r="BR4" s="30"/>
      <c r="BS4" s="26"/>
      <c r="BT4" s="27"/>
      <c r="BU4" s="10" t="str">
        <f>"学年"&amp;BU$1</f>
        <v>学年169</v>
      </c>
      <c r="BV4" s="26"/>
      <c r="BW4" s="26"/>
      <c r="BX4" s="30"/>
      <c r="BY4" s="26"/>
      <c r="BZ4" s="27"/>
      <c r="CA4" s="31"/>
      <c r="CB4" s="26"/>
      <c r="CC4" s="26"/>
      <c r="CD4" s="30"/>
      <c r="CE4" s="26"/>
      <c r="CF4" s="27"/>
      <c r="CG4" s="10" t="str">
        <f>"学年"&amp;CG$1</f>
        <v>学年197</v>
      </c>
      <c r="CH4" s="26"/>
      <c r="CI4" s="26"/>
      <c r="CJ4" s="30"/>
      <c r="CK4" s="26"/>
      <c r="CL4" s="27"/>
      <c r="CM4" s="31"/>
      <c r="CN4" s="26"/>
      <c r="CO4" s="26"/>
      <c r="CP4" s="30"/>
      <c r="CQ4" s="26"/>
      <c r="CR4" s="27"/>
      <c r="CS4" s="10" t="str">
        <f>"学年"&amp;CS$1</f>
        <v>学年225</v>
      </c>
      <c r="CT4" s="26"/>
      <c r="CU4" s="26"/>
      <c r="CV4" s="30"/>
      <c r="CW4" s="26"/>
      <c r="CX4" s="27"/>
      <c r="CY4" s="31"/>
      <c r="CZ4" s="26"/>
      <c r="DA4" s="26"/>
      <c r="DB4" s="30"/>
      <c r="DC4" s="26"/>
      <c r="DD4" s="27"/>
      <c r="DE4" s="10" t="str">
        <f>"学年"&amp;DE$1</f>
        <v>学年253</v>
      </c>
      <c r="DF4" s="26"/>
      <c r="DG4" s="26"/>
      <c r="DH4" s="30"/>
      <c r="DI4" s="26"/>
      <c r="DJ4" s="27"/>
      <c r="DK4" s="31"/>
      <c r="DL4" s="26"/>
      <c r="DM4" s="26"/>
      <c r="DN4" s="30"/>
      <c r="DO4" s="26"/>
      <c r="DP4" s="27"/>
      <c r="DQ4" s="10" t="str">
        <f>"学年"&amp;DQ$1</f>
        <v>学年281</v>
      </c>
      <c r="DR4" s="26"/>
      <c r="DS4" s="26"/>
      <c r="DT4" s="30"/>
      <c r="DU4" s="26"/>
      <c r="DV4" s="27"/>
      <c r="DW4" s="31"/>
      <c r="DX4" s="26"/>
      <c r="DY4" s="26"/>
      <c r="DZ4" s="30"/>
      <c r="EA4" s="26"/>
      <c r="EB4" s="27"/>
      <c r="EC4" s="10" t="str">
        <f>"学年"&amp;EC$1</f>
        <v>学年309</v>
      </c>
      <c r="ED4" s="26"/>
      <c r="EE4" s="26"/>
      <c r="EF4" s="30"/>
      <c r="EG4" s="26"/>
      <c r="EH4" s="27"/>
      <c r="EI4" s="31"/>
      <c r="EJ4" s="26"/>
      <c r="EK4" s="26"/>
      <c r="EL4" s="30"/>
      <c r="EM4" s="26"/>
      <c r="EN4" s="27"/>
      <c r="EO4" s="10" t="str">
        <f>"学年"&amp;EO$1</f>
        <v>学年337</v>
      </c>
      <c r="EP4" s="26"/>
      <c r="EQ4" s="26"/>
      <c r="ER4" s="30"/>
      <c r="ES4" s="26"/>
      <c r="ET4" s="27"/>
      <c r="EU4" s="31"/>
      <c r="EV4" s="26"/>
      <c r="EW4" s="26"/>
      <c r="EX4" s="30"/>
      <c r="EY4" s="26"/>
      <c r="EZ4" s="27"/>
      <c r="FA4" s="10" t="str">
        <f>"学年"&amp;FA$1</f>
        <v>学年365</v>
      </c>
      <c r="FB4" s="26"/>
      <c r="FC4" s="26"/>
      <c r="FD4" s="30"/>
      <c r="FE4" s="26"/>
      <c r="FF4" s="27"/>
      <c r="FG4" s="31"/>
      <c r="FH4" s="26"/>
      <c r="FI4" s="26"/>
      <c r="FJ4" s="30"/>
      <c r="FK4" s="26"/>
      <c r="FL4" s="27"/>
      <c r="FM4" s="10" t="str">
        <f>"学年"&amp;FM$1</f>
        <v>学年393</v>
      </c>
      <c r="FN4" s="26"/>
      <c r="FO4" s="26"/>
      <c r="FP4" s="30"/>
      <c r="FQ4" s="26"/>
      <c r="FR4" s="27"/>
      <c r="FS4" s="31"/>
      <c r="FT4" s="26"/>
      <c r="FU4" s="26"/>
      <c r="FV4" s="30"/>
      <c r="FW4" s="26"/>
      <c r="FX4" s="27"/>
      <c r="FY4" s="10" t="str">
        <f>"学年"&amp;FY$1</f>
        <v>学年421</v>
      </c>
      <c r="FZ4" s="26"/>
      <c r="GA4" s="26"/>
      <c r="GB4" s="30"/>
      <c r="GC4" s="26"/>
      <c r="GD4" s="27"/>
      <c r="GE4" s="31"/>
      <c r="GF4" s="26"/>
      <c r="GG4" s="26"/>
      <c r="GH4" s="30"/>
      <c r="GI4" s="26"/>
      <c r="GJ4" s="27"/>
      <c r="GK4" s="10" t="str">
        <f>"学年"&amp;GK$1</f>
        <v>学年449</v>
      </c>
      <c r="GL4" s="26"/>
      <c r="GM4" s="26"/>
      <c r="GN4" s="30"/>
      <c r="GO4" s="26"/>
      <c r="GP4" s="27"/>
      <c r="GQ4" s="31"/>
      <c r="GR4" s="26"/>
      <c r="GS4" s="26"/>
      <c r="GT4" s="30"/>
      <c r="GU4" s="26"/>
      <c r="GV4" s="27"/>
      <c r="GW4" s="10" t="str">
        <f>"学年"&amp;GW$1</f>
        <v>学年477</v>
      </c>
      <c r="GX4" s="26"/>
      <c r="GY4" s="26"/>
      <c r="GZ4" s="30"/>
      <c r="HA4" s="26"/>
      <c r="HB4" s="27"/>
      <c r="HC4" s="31"/>
      <c r="HD4" s="26"/>
      <c r="HE4" s="26"/>
      <c r="HF4" s="30"/>
      <c r="HG4" s="26"/>
      <c r="HH4" s="27"/>
      <c r="HI4" s="10" t="str">
        <f>"学年"&amp;HI$1</f>
        <v>学年505</v>
      </c>
      <c r="HJ4" s="26"/>
      <c r="HK4" s="26"/>
      <c r="HL4" s="30"/>
      <c r="HM4" s="26"/>
      <c r="HN4" s="27"/>
      <c r="HO4" s="31"/>
      <c r="HP4" s="26"/>
      <c r="HQ4" s="26"/>
      <c r="HR4" s="30"/>
      <c r="HS4" s="26"/>
      <c r="HT4" s="27"/>
      <c r="HU4" s="3"/>
      <c r="HV4" s="3"/>
    </row>
    <row r="5" spans="1:230" ht="17.100000000000001" customHeight="1" x14ac:dyDescent="0.45">
      <c r="A5" s="10"/>
      <c r="B5" s="22">
        <f ca="1">OFFSET(Gemini抽出データ!$A$1,A1,3)</f>
        <v>0</v>
      </c>
      <c r="C5" s="23"/>
      <c r="D5" s="28"/>
      <c r="E5" s="22">
        <f ca="1">OFFSET(Gemini抽出データ!$A$1,D1,3)</f>
        <v>0</v>
      </c>
      <c r="F5" s="24"/>
      <c r="G5" s="29"/>
      <c r="H5" s="22">
        <f ca="1">OFFSET(Gemini抽出データ!$A$1,G1,3)</f>
        <v>0</v>
      </c>
      <c r="I5" s="23"/>
      <c r="J5" s="28"/>
      <c r="K5" s="22">
        <f ca="1">OFFSET(Gemini抽出データ!$A$1,J1,3)</f>
        <v>0</v>
      </c>
      <c r="L5" s="24"/>
      <c r="M5" s="10"/>
      <c r="N5" s="22">
        <f ca="1">OFFSET(Gemini抽出データ!$A$1,M1,3)</f>
        <v>0</v>
      </c>
      <c r="O5" s="23"/>
      <c r="P5" s="28"/>
      <c r="Q5" s="22">
        <f ca="1">OFFSET(Gemini抽出データ!$A$1,P1,3)</f>
        <v>0</v>
      </c>
      <c r="R5" s="24"/>
      <c r="S5" s="29"/>
      <c r="T5" s="22">
        <f ca="1">OFFSET(Gemini抽出データ!$A$1,S1,3)</f>
        <v>0</v>
      </c>
      <c r="U5" s="23"/>
      <c r="V5" s="28"/>
      <c r="W5" s="22">
        <f ca="1">OFFSET(Gemini抽出データ!$A$1,V1,3)</f>
        <v>0</v>
      </c>
      <c r="X5" s="24"/>
      <c r="Y5" s="10"/>
      <c r="Z5" s="22">
        <f ca="1">OFFSET(Gemini抽出データ!$A$1,Y1,3)</f>
        <v>0</v>
      </c>
      <c r="AA5" s="23"/>
      <c r="AB5" s="28"/>
      <c r="AC5" s="22">
        <f ca="1">OFFSET(Gemini抽出データ!$A$1,AB1,3)</f>
        <v>0</v>
      </c>
      <c r="AD5" s="24"/>
      <c r="AE5" s="29"/>
      <c r="AF5" s="22">
        <f ca="1">OFFSET(Gemini抽出データ!$A$1,AE1,3)</f>
        <v>0</v>
      </c>
      <c r="AG5" s="23"/>
      <c r="AH5" s="28"/>
      <c r="AI5" s="22">
        <f ca="1">OFFSET(Gemini抽出データ!$A$1,AH1,3)</f>
        <v>0</v>
      </c>
      <c r="AJ5" s="24"/>
      <c r="AK5" s="10"/>
      <c r="AL5" s="22">
        <f ca="1">OFFSET(Gemini抽出データ!$A$1,AK1,3)</f>
        <v>0</v>
      </c>
      <c r="AM5" s="23"/>
      <c r="AN5" s="28"/>
      <c r="AO5" s="22">
        <f ca="1">OFFSET(Gemini抽出データ!$A$1,AN1,3)</f>
        <v>0</v>
      </c>
      <c r="AP5" s="24"/>
      <c r="AQ5" s="29"/>
      <c r="AR5" s="22">
        <f ca="1">OFFSET(Gemini抽出データ!$A$1,AQ1,3)</f>
        <v>0</v>
      </c>
      <c r="AS5" s="23"/>
      <c r="AT5" s="28"/>
      <c r="AU5" s="22">
        <f ca="1">OFFSET(Gemini抽出データ!$A$1,AT1,3)</f>
        <v>0</v>
      </c>
      <c r="AV5" s="24"/>
      <c r="AW5" s="10"/>
      <c r="AX5" s="22">
        <f ca="1">OFFSET(Gemini抽出データ!$A$1,AW1,3)</f>
        <v>0</v>
      </c>
      <c r="AY5" s="23"/>
      <c r="AZ5" s="28"/>
      <c r="BA5" s="22">
        <f ca="1">OFFSET(Gemini抽出データ!$A$1,AZ1,3)</f>
        <v>0</v>
      </c>
      <c r="BB5" s="24"/>
      <c r="BC5" s="29"/>
      <c r="BD5" s="22">
        <f ca="1">OFFSET(Gemini抽出データ!$A$1,BC1,3)</f>
        <v>0</v>
      </c>
      <c r="BE5" s="23"/>
      <c r="BF5" s="28"/>
      <c r="BG5" s="22">
        <f ca="1">OFFSET(Gemini抽出データ!$A$1,BF1,3)</f>
        <v>0</v>
      </c>
      <c r="BH5" s="24"/>
      <c r="BI5" s="10"/>
      <c r="BJ5" s="22">
        <f ca="1">OFFSET(Gemini抽出データ!$A$1,BI1,3)</f>
        <v>0</v>
      </c>
      <c r="BK5" s="23"/>
      <c r="BL5" s="28"/>
      <c r="BM5" s="22">
        <f ca="1">OFFSET(Gemini抽出データ!$A$1,BL1,3)</f>
        <v>0</v>
      </c>
      <c r="BN5" s="24"/>
      <c r="BO5" s="29"/>
      <c r="BP5" s="22">
        <f ca="1">OFFSET(Gemini抽出データ!$A$1,BO1,3)</f>
        <v>0</v>
      </c>
      <c r="BQ5" s="23"/>
      <c r="BR5" s="28"/>
      <c r="BS5" s="22">
        <f ca="1">OFFSET(Gemini抽出データ!$A$1,BR1,3)</f>
        <v>0</v>
      </c>
      <c r="BT5" s="24"/>
      <c r="BU5" s="10"/>
      <c r="BV5" s="22">
        <f ca="1">OFFSET(Gemini抽出データ!$A$1,BU1,3)</f>
        <v>0</v>
      </c>
      <c r="BW5" s="23"/>
      <c r="BX5" s="28"/>
      <c r="BY5" s="22">
        <f ca="1">OFFSET(Gemini抽出データ!$A$1,BX1,3)</f>
        <v>0</v>
      </c>
      <c r="BZ5" s="24"/>
      <c r="CA5" s="29"/>
      <c r="CB5" s="22">
        <f ca="1">OFFSET(Gemini抽出データ!$A$1,CA1,3)</f>
        <v>0</v>
      </c>
      <c r="CC5" s="23"/>
      <c r="CD5" s="28"/>
      <c r="CE5" s="22">
        <f ca="1">OFFSET(Gemini抽出データ!$A$1,CD1,3)</f>
        <v>0</v>
      </c>
      <c r="CF5" s="24"/>
      <c r="CG5" s="10"/>
      <c r="CH5" s="22">
        <f ca="1">OFFSET(Gemini抽出データ!$A$1,CG1,3)</f>
        <v>0</v>
      </c>
      <c r="CI5" s="23"/>
      <c r="CJ5" s="28"/>
      <c r="CK5" s="22">
        <f ca="1">OFFSET(Gemini抽出データ!$A$1,CJ1,3)</f>
        <v>0</v>
      </c>
      <c r="CL5" s="24"/>
      <c r="CM5" s="29"/>
      <c r="CN5" s="22">
        <f ca="1">OFFSET(Gemini抽出データ!$A$1,CM1,3)</f>
        <v>0</v>
      </c>
      <c r="CO5" s="23"/>
      <c r="CP5" s="28"/>
      <c r="CQ5" s="22">
        <f ca="1">OFFSET(Gemini抽出データ!$A$1,CP1,3)</f>
        <v>0</v>
      </c>
      <c r="CR5" s="24"/>
      <c r="CS5" s="10"/>
      <c r="CT5" s="22">
        <f ca="1">OFFSET(Gemini抽出データ!$A$1,CS1,3)</f>
        <v>0</v>
      </c>
      <c r="CU5" s="23"/>
      <c r="CV5" s="28"/>
      <c r="CW5" s="22">
        <f ca="1">OFFSET(Gemini抽出データ!$A$1,CV1,3)</f>
        <v>0</v>
      </c>
      <c r="CX5" s="24"/>
      <c r="CY5" s="29"/>
      <c r="CZ5" s="22">
        <f ca="1">OFFSET(Gemini抽出データ!$A$1,CY1,3)</f>
        <v>0</v>
      </c>
      <c r="DA5" s="23"/>
      <c r="DB5" s="28"/>
      <c r="DC5" s="22">
        <f ca="1">OFFSET(Gemini抽出データ!$A$1,DB1,3)</f>
        <v>0</v>
      </c>
      <c r="DD5" s="24"/>
      <c r="DE5" s="10"/>
      <c r="DF5" s="22">
        <f ca="1">OFFSET(Gemini抽出データ!$A$1,DE1,3)</f>
        <v>0</v>
      </c>
      <c r="DG5" s="23"/>
      <c r="DH5" s="28"/>
      <c r="DI5" s="22">
        <f ca="1">OFFSET(Gemini抽出データ!$A$1,DH1,3)</f>
        <v>0</v>
      </c>
      <c r="DJ5" s="24"/>
      <c r="DK5" s="29"/>
      <c r="DL5" s="22">
        <f ca="1">OFFSET(Gemini抽出データ!$A$1,DK1,3)</f>
        <v>0</v>
      </c>
      <c r="DM5" s="23"/>
      <c r="DN5" s="28"/>
      <c r="DO5" s="22">
        <f ca="1">OFFSET(Gemini抽出データ!$A$1,DN1,3)</f>
        <v>0</v>
      </c>
      <c r="DP5" s="24"/>
      <c r="DQ5" s="10"/>
      <c r="DR5" s="22">
        <f ca="1">OFFSET(Gemini抽出データ!$A$1,DQ1,3)</f>
        <v>0</v>
      </c>
      <c r="DS5" s="23"/>
      <c r="DT5" s="28"/>
      <c r="DU5" s="22">
        <f ca="1">OFFSET(Gemini抽出データ!$A$1,DT1,3)</f>
        <v>0</v>
      </c>
      <c r="DV5" s="24"/>
      <c r="DW5" s="29"/>
      <c r="DX5" s="22">
        <f ca="1">OFFSET(Gemini抽出データ!$A$1,DW1,3)</f>
        <v>0</v>
      </c>
      <c r="DY5" s="23"/>
      <c r="DZ5" s="28"/>
      <c r="EA5" s="22">
        <f ca="1">OFFSET(Gemini抽出データ!$A$1,DZ1,3)</f>
        <v>0</v>
      </c>
      <c r="EB5" s="24"/>
      <c r="EC5" s="10"/>
      <c r="ED5" s="22">
        <f ca="1">OFFSET(Gemini抽出データ!$A$1,EC1,3)</f>
        <v>0</v>
      </c>
      <c r="EE5" s="23"/>
      <c r="EF5" s="28"/>
      <c r="EG5" s="22">
        <f ca="1">OFFSET(Gemini抽出データ!$A$1,EF1,3)</f>
        <v>0</v>
      </c>
      <c r="EH5" s="24"/>
      <c r="EI5" s="29"/>
      <c r="EJ5" s="22">
        <f ca="1">OFFSET(Gemini抽出データ!$A$1,EI1,3)</f>
        <v>0</v>
      </c>
      <c r="EK5" s="23"/>
      <c r="EL5" s="28"/>
      <c r="EM5" s="22">
        <f ca="1">OFFSET(Gemini抽出データ!$A$1,EL1,3)</f>
        <v>0</v>
      </c>
      <c r="EN5" s="24"/>
      <c r="EO5" s="10"/>
      <c r="EP5" s="22">
        <f ca="1">OFFSET(Gemini抽出データ!$A$1,EO1,3)</f>
        <v>0</v>
      </c>
      <c r="EQ5" s="23"/>
      <c r="ER5" s="28"/>
      <c r="ES5" s="22">
        <f ca="1">OFFSET(Gemini抽出データ!$A$1,ER1,3)</f>
        <v>0</v>
      </c>
      <c r="ET5" s="24"/>
      <c r="EU5" s="29"/>
      <c r="EV5" s="22">
        <f ca="1">OFFSET(Gemini抽出データ!$A$1,EU1,3)</f>
        <v>0</v>
      </c>
      <c r="EW5" s="23"/>
      <c r="EX5" s="28"/>
      <c r="EY5" s="22">
        <f ca="1">OFFSET(Gemini抽出データ!$A$1,EX1,3)</f>
        <v>0</v>
      </c>
      <c r="EZ5" s="24"/>
      <c r="FA5" s="10"/>
      <c r="FB5" s="22">
        <f ca="1">OFFSET(Gemini抽出データ!$A$1,FA1,3)</f>
        <v>0</v>
      </c>
      <c r="FC5" s="23"/>
      <c r="FD5" s="28"/>
      <c r="FE5" s="22">
        <f ca="1">OFFSET(Gemini抽出データ!$A$1,FD1,3)</f>
        <v>0</v>
      </c>
      <c r="FF5" s="24"/>
      <c r="FG5" s="29"/>
      <c r="FH5" s="22">
        <f ca="1">OFFSET(Gemini抽出データ!$A$1,FG1,3)</f>
        <v>0</v>
      </c>
      <c r="FI5" s="23"/>
      <c r="FJ5" s="28"/>
      <c r="FK5" s="22">
        <f ca="1">OFFSET(Gemini抽出データ!$A$1,FJ1,3)</f>
        <v>0</v>
      </c>
      <c r="FL5" s="24"/>
      <c r="FM5" s="10"/>
      <c r="FN5" s="22">
        <f ca="1">OFFSET(Gemini抽出データ!$A$1,FM1,3)</f>
        <v>0</v>
      </c>
      <c r="FO5" s="23"/>
      <c r="FP5" s="28"/>
      <c r="FQ5" s="22">
        <f ca="1">OFFSET(Gemini抽出データ!$A$1,FP1,3)</f>
        <v>0</v>
      </c>
      <c r="FR5" s="24"/>
      <c r="FS5" s="29"/>
      <c r="FT5" s="22">
        <f ca="1">OFFSET(Gemini抽出データ!$A$1,FS1,3)</f>
        <v>0</v>
      </c>
      <c r="FU5" s="23"/>
      <c r="FV5" s="28"/>
      <c r="FW5" s="22">
        <f ca="1">OFFSET(Gemini抽出データ!$A$1,FV1,3)</f>
        <v>0</v>
      </c>
      <c r="FX5" s="24"/>
      <c r="FY5" s="10"/>
      <c r="FZ5" s="22">
        <f ca="1">OFFSET(Gemini抽出データ!$A$1,FY1,3)</f>
        <v>0</v>
      </c>
      <c r="GA5" s="23"/>
      <c r="GB5" s="28"/>
      <c r="GC5" s="22">
        <f ca="1">OFFSET(Gemini抽出データ!$A$1,GB1,3)</f>
        <v>0</v>
      </c>
      <c r="GD5" s="24"/>
      <c r="GE5" s="29"/>
      <c r="GF5" s="22">
        <f ca="1">OFFSET(Gemini抽出データ!$A$1,GE1,3)</f>
        <v>0</v>
      </c>
      <c r="GG5" s="23"/>
      <c r="GH5" s="28"/>
      <c r="GI5" s="22">
        <f ca="1">OFFSET(Gemini抽出データ!$A$1,GH1,3)</f>
        <v>0</v>
      </c>
      <c r="GJ5" s="24"/>
      <c r="GK5" s="10"/>
      <c r="GL5" s="22">
        <f ca="1">OFFSET(Gemini抽出データ!$A$1,GK1,3)</f>
        <v>0</v>
      </c>
      <c r="GM5" s="23"/>
      <c r="GN5" s="28"/>
      <c r="GO5" s="22">
        <f ca="1">OFFSET(Gemini抽出データ!$A$1,GN1,3)</f>
        <v>0</v>
      </c>
      <c r="GP5" s="24"/>
      <c r="GQ5" s="29"/>
      <c r="GR5" s="22">
        <f ca="1">OFFSET(Gemini抽出データ!$A$1,GQ1,3)</f>
        <v>0</v>
      </c>
      <c r="GS5" s="23"/>
      <c r="GT5" s="28"/>
      <c r="GU5" s="22">
        <f ca="1">OFFSET(Gemini抽出データ!$A$1,GT1,3)</f>
        <v>0</v>
      </c>
      <c r="GV5" s="24"/>
      <c r="GW5" s="10"/>
      <c r="GX5" s="22">
        <f ca="1">OFFSET(Gemini抽出データ!$A$1,GW1,3)</f>
        <v>0</v>
      </c>
      <c r="GY5" s="23"/>
      <c r="GZ5" s="28"/>
      <c r="HA5" s="22">
        <f ca="1">OFFSET(Gemini抽出データ!$A$1,GZ1,3)</f>
        <v>0</v>
      </c>
      <c r="HB5" s="24"/>
      <c r="HC5" s="29"/>
      <c r="HD5" s="22">
        <f ca="1">OFFSET(Gemini抽出データ!$A$1,HC1,3)</f>
        <v>0</v>
      </c>
      <c r="HE5" s="23"/>
      <c r="HF5" s="28"/>
      <c r="HG5" s="22">
        <f ca="1">OFFSET(Gemini抽出データ!$A$1,HF1,3)</f>
        <v>0</v>
      </c>
      <c r="HH5" s="24"/>
      <c r="HI5" s="10"/>
      <c r="HJ5" s="22">
        <f ca="1">OFFSET(Gemini抽出データ!$A$1,HI1,3)</f>
        <v>0</v>
      </c>
      <c r="HK5" s="23"/>
      <c r="HL5" s="28"/>
      <c r="HM5" s="22">
        <f ca="1">OFFSET(Gemini抽出データ!$A$1,HL1,3)</f>
        <v>0</v>
      </c>
      <c r="HN5" s="24"/>
      <c r="HO5" s="29"/>
      <c r="HP5" s="22">
        <f ca="1">OFFSET(Gemini抽出データ!$A$1,HO1,3)</f>
        <v>0</v>
      </c>
      <c r="HQ5" s="23"/>
      <c r="HR5" s="28"/>
      <c r="HS5" s="22">
        <f ca="1">OFFSET(Gemini抽出データ!$A$1,HR1,3)</f>
        <v>0</v>
      </c>
      <c r="HT5" s="24"/>
      <c r="HU5" s="2" t="e">
        <f ca="1">OFFSET(Gemini抽出データ!$A$1,#REF!,3)</f>
        <v>#REF!</v>
      </c>
      <c r="HV5" s="3"/>
    </row>
    <row r="6" spans="1:230" ht="17.100000000000001" customHeight="1" x14ac:dyDescent="0.45">
      <c r="A6" s="10"/>
      <c r="B6" s="23"/>
      <c r="C6" s="23"/>
      <c r="D6" s="28" t="str">
        <f>"クラス"&amp;D$1</f>
        <v>クラス2</v>
      </c>
      <c r="E6" s="23"/>
      <c r="F6" s="24"/>
      <c r="G6" s="29" t="str">
        <f>"クラス"&amp;G$1</f>
        <v>クラス3</v>
      </c>
      <c r="H6" s="23"/>
      <c r="I6" s="23"/>
      <c r="J6" s="28" t="str">
        <f>"クラス"&amp;J$1</f>
        <v>クラス4</v>
      </c>
      <c r="K6" s="23"/>
      <c r="L6" s="24"/>
      <c r="M6" s="10"/>
      <c r="N6" s="23"/>
      <c r="O6" s="23"/>
      <c r="P6" s="28" t="str">
        <f>"クラス"&amp;P$1</f>
        <v>クラス30</v>
      </c>
      <c r="Q6" s="23"/>
      <c r="R6" s="24"/>
      <c r="S6" s="29" t="str">
        <f>"クラス"&amp;S$1</f>
        <v>クラス31</v>
      </c>
      <c r="T6" s="23"/>
      <c r="U6" s="23"/>
      <c r="V6" s="28" t="str">
        <f>"クラス"&amp;V$1</f>
        <v>クラス32</v>
      </c>
      <c r="W6" s="23"/>
      <c r="X6" s="24"/>
      <c r="Y6" s="10"/>
      <c r="Z6" s="23"/>
      <c r="AA6" s="23"/>
      <c r="AB6" s="28" t="str">
        <f>"クラス"&amp;AB$1</f>
        <v>クラス58</v>
      </c>
      <c r="AC6" s="23"/>
      <c r="AD6" s="24"/>
      <c r="AE6" s="29" t="str">
        <f>"クラス"&amp;AE$1</f>
        <v>クラス59</v>
      </c>
      <c r="AF6" s="23"/>
      <c r="AG6" s="23"/>
      <c r="AH6" s="28" t="str">
        <f>"クラス"&amp;AH$1</f>
        <v>クラス60</v>
      </c>
      <c r="AI6" s="23"/>
      <c r="AJ6" s="24"/>
      <c r="AK6" s="10"/>
      <c r="AL6" s="23"/>
      <c r="AM6" s="23"/>
      <c r="AN6" s="28" t="str">
        <f>"クラス"&amp;AN$1</f>
        <v>クラス86</v>
      </c>
      <c r="AO6" s="23"/>
      <c r="AP6" s="24"/>
      <c r="AQ6" s="29" t="str">
        <f>"クラス"&amp;AQ$1</f>
        <v>クラス87</v>
      </c>
      <c r="AR6" s="23"/>
      <c r="AS6" s="23"/>
      <c r="AT6" s="28" t="str">
        <f>"クラス"&amp;AT$1</f>
        <v>クラス88</v>
      </c>
      <c r="AU6" s="23"/>
      <c r="AV6" s="24"/>
      <c r="AW6" s="10"/>
      <c r="AX6" s="23"/>
      <c r="AY6" s="23"/>
      <c r="AZ6" s="28" t="str">
        <f>"クラス"&amp;AZ$1</f>
        <v>クラス114</v>
      </c>
      <c r="BA6" s="23"/>
      <c r="BB6" s="24"/>
      <c r="BC6" s="29" t="str">
        <f>"クラス"&amp;BC$1</f>
        <v>クラス115</v>
      </c>
      <c r="BD6" s="23"/>
      <c r="BE6" s="23"/>
      <c r="BF6" s="28" t="str">
        <f>"クラス"&amp;BF$1</f>
        <v>クラス116</v>
      </c>
      <c r="BG6" s="23"/>
      <c r="BH6" s="24"/>
      <c r="BI6" s="10"/>
      <c r="BJ6" s="23"/>
      <c r="BK6" s="23"/>
      <c r="BL6" s="28" t="str">
        <f>"クラス"&amp;BL$1</f>
        <v>クラス142</v>
      </c>
      <c r="BM6" s="23"/>
      <c r="BN6" s="24"/>
      <c r="BO6" s="29" t="str">
        <f>"クラス"&amp;BO$1</f>
        <v>クラス143</v>
      </c>
      <c r="BP6" s="23"/>
      <c r="BQ6" s="23"/>
      <c r="BR6" s="28" t="str">
        <f>"クラス"&amp;BR$1</f>
        <v>クラス144</v>
      </c>
      <c r="BS6" s="23"/>
      <c r="BT6" s="24"/>
      <c r="BU6" s="10"/>
      <c r="BV6" s="23"/>
      <c r="BW6" s="23"/>
      <c r="BX6" s="28" t="str">
        <f>"クラス"&amp;BX$1</f>
        <v>クラス170</v>
      </c>
      <c r="BY6" s="23"/>
      <c r="BZ6" s="24"/>
      <c r="CA6" s="29" t="str">
        <f>"クラス"&amp;CA$1</f>
        <v>クラス171</v>
      </c>
      <c r="CB6" s="23"/>
      <c r="CC6" s="23"/>
      <c r="CD6" s="28" t="str">
        <f>"クラス"&amp;CD$1</f>
        <v>クラス172</v>
      </c>
      <c r="CE6" s="23"/>
      <c r="CF6" s="24"/>
      <c r="CG6" s="10"/>
      <c r="CH6" s="23"/>
      <c r="CI6" s="23"/>
      <c r="CJ6" s="28" t="str">
        <f>"クラス"&amp;CJ$1</f>
        <v>クラス198</v>
      </c>
      <c r="CK6" s="23"/>
      <c r="CL6" s="24"/>
      <c r="CM6" s="29" t="str">
        <f>"クラス"&amp;CM$1</f>
        <v>クラス199</v>
      </c>
      <c r="CN6" s="23"/>
      <c r="CO6" s="23"/>
      <c r="CP6" s="28" t="str">
        <f>"クラス"&amp;CP$1</f>
        <v>クラス200</v>
      </c>
      <c r="CQ6" s="23"/>
      <c r="CR6" s="24"/>
      <c r="CS6" s="10"/>
      <c r="CT6" s="23"/>
      <c r="CU6" s="23"/>
      <c r="CV6" s="28" t="str">
        <f>"クラス"&amp;CV$1</f>
        <v>クラス226</v>
      </c>
      <c r="CW6" s="23"/>
      <c r="CX6" s="24"/>
      <c r="CY6" s="29" t="str">
        <f>"クラス"&amp;CY$1</f>
        <v>クラス227</v>
      </c>
      <c r="CZ6" s="23"/>
      <c r="DA6" s="23"/>
      <c r="DB6" s="28" t="str">
        <f>"クラス"&amp;DB$1</f>
        <v>クラス228</v>
      </c>
      <c r="DC6" s="23"/>
      <c r="DD6" s="24"/>
      <c r="DE6" s="10"/>
      <c r="DF6" s="23"/>
      <c r="DG6" s="23"/>
      <c r="DH6" s="28" t="str">
        <f>"クラス"&amp;DH$1</f>
        <v>クラス254</v>
      </c>
      <c r="DI6" s="23"/>
      <c r="DJ6" s="24"/>
      <c r="DK6" s="29" t="str">
        <f>"クラス"&amp;DK$1</f>
        <v>クラス255</v>
      </c>
      <c r="DL6" s="23"/>
      <c r="DM6" s="23"/>
      <c r="DN6" s="28" t="str">
        <f>"クラス"&amp;DN$1</f>
        <v>クラス256</v>
      </c>
      <c r="DO6" s="23"/>
      <c r="DP6" s="24"/>
      <c r="DQ6" s="10"/>
      <c r="DR6" s="23"/>
      <c r="DS6" s="23"/>
      <c r="DT6" s="28" t="str">
        <f>"クラス"&amp;DT$1</f>
        <v>クラス282</v>
      </c>
      <c r="DU6" s="23"/>
      <c r="DV6" s="24"/>
      <c r="DW6" s="29" t="str">
        <f>"クラス"&amp;DW$1</f>
        <v>クラス283</v>
      </c>
      <c r="DX6" s="23"/>
      <c r="DY6" s="23"/>
      <c r="DZ6" s="28" t="str">
        <f>"クラス"&amp;DZ$1</f>
        <v>クラス284</v>
      </c>
      <c r="EA6" s="23"/>
      <c r="EB6" s="24"/>
      <c r="EC6" s="10"/>
      <c r="ED6" s="23"/>
      <c r="EE6" s="23"/>
      <c r="EF6" s="28" t="str">
        <f>"クラス"&amp;EF$1</f>
        <v>クラス310</v>
      </c>
      <c r="EG6" s="23"/>
      <c r="EH6" s="24"/>
      <c r="EI6" s="29" t="str">
        <f>"クラス"&amp;EI$1</f>
        <v>クラス311</v>
      </c>
      <c r="EJ6" s="23"/>
      <c r="EK6" s="23"/>
      <c r="EL6" s="28" t="str">
        <f>"クラス"&amp;EL$1</f>
        <v>クラス312</v>
      </c>
      <c r="EM6" s="23"/>
      <c r="EN6" s="24"/>
      <c r="EO6" s="10"/>
      <c r="EP6" s="23"/>
      <c r="EQ6" s="23"/>
      <c r="ER6" s="28" t="str">
        <f>"クラス"&amp;ER$1</f>
        <v>クラス338</v>
      </c>
      <c r="ES6" s="23"/>
      <c r="ET6" s="24"/>
      <c r="EU6" s="29" t="str">
        <f>"クラス"&amp;EU$1</f>
        <v>クラス339</v>
      </c>
      <c r="EV6" s="23"/>
      <c r="EW6" s="23"/>
      <c r="EX6" s="28" t="str">
        <f>"クラス"&amp;EX$1</f>
        <v>クラス340</v>
      </c>
      <c r="EY6" s="23"/>
      <c r="EZ6" s="24"/>
      <c r="FA6" s="10"/>
      <c r="FB6" s="23"/>
      <c r="FC6" s="23"/>
      <c r="FD6" s="28" t="str">
        <f>"クラス"&amp;FD$1</f>
        <v>クラス366</v>
      </c>
      <c r="FE6" s="23"/>
      <c r="FF6" s="24"/>
      <c r="FG6" s="29" t="str">
        <f>"クラス"&amp;FG$1</f>
        <v>クラス367</v>
      </c>
      <c r="FH6" s="23"/>
      <c r="FI6" s="23"/>
      <c r="FJ6" s="28" t="str">
        <f>"クラス"&amp;FJ$1</f>
        <v>クラス368</v>
      </c>
      <c r="FK6" s="23"/>
      <c r="FL6" s="24"/>
      <c r="FM6" s="10"/>
      <c r="FN6" s="23"/>
      <c r="FO6" s="23"/>
      <c r="FP6" s="28" t="str">
        <f>"クラス"&amp;FP$1</f>
        <v>クラス394</v>
      </c>
      <c r="FQ6" s="23"/>
      <c r="FR6" s="24"/>
      <c r="FS6" s="29" t="str">
        <f>"クラス"&amp;FS$1</f>
        <v>クラス395</v>
      </c>
      <c r="FT6" s="23"/>
      <c r="FU6" s="23"/>
      <c r="FV6" s="28" t="str">
        <f>"クラス"&amp;FV$1</f>
        <v>クラス396</v>
      </c>
      <c r="FW6" s="23"/>
      <c r="FX6" s="24"/>
      <c r="FY6" s="10"/>
      <c r="FZ6" s="23"/>
      <c r="GA6" s="23"/>
      <c r="GB6" s="28" t="str">
        <f>"クラス"&amp;GB$1</f>
        <v>クラス422</v>
      </c>
      <c r="GC6" s="23"/>
      <c r="GD6" s="24"/>
      <c r="GE6" s="29" t="str">
        <f>"クラス"&amp;GE$1</f>
        <v>クラス423</v>
      </c>
      <c r="GF6" s="23"/>
      <c r="GG6" s="23"/>
      <c r="GH6" s="28" t="str">
        <f>"クラス"&amp;GH$1</f>
        <v>クラス424</v>
      </c>
      <c r="GI6" s="23"/>
      <c r="GJ6" s="24"/>
      <c r="GK6" s="10"/>
      <c r="GL6" s="23"/>
      <c r="GM6" s="23"/>
      <c r="GN6" s="28" t="str">
        <f>"クラス"&amp;GN$1</f>
        <v>クラス450</v>
      </c>
      <c r="GO6" s="23"/>
      <c r="GP6" s="24"/>
      <c r="GQ6" s="29" t="str">
        <f>"クラス"&amp;GQ$1</f>
        <v>クラス451</v>
      </c>
      <c r="GR6" s="23"/>
      <c r="GS6" s="23"/>
      <c r="GT6" s="28" t="str">
        <f>"クラス"&amp;GT$1</f>
        <v>クラス452</v>
      </c>
      <c r="GU6" s="23"/>
      <c r="GV6" s="24"/>
      <c r="GW6" s="10"/>
      <c r="GX6" s="23"/>
      <c r="GY6" s="23"/>
      <c r="GZ6" s="28" t="str">
        <f>"クラス"&amp;GZ$1</f>
        <v>クラス478</v>
      </c>
      <c r="HA6" s="23"/>
      <c r="HB6" s="24"/>
      <c r="HC6" s="29" t="str">
        <f>"クラス"&amp;HC$1</f>
        <v>クラス479</v>
      </c>
      <c r="HD6" s="23"/>
      <c r="HE6" s="23"/>
      <c r="HF6" s="28" t="str">
        <f>"クラス"&amp;HF$1</f>
        <v>クラス480</v>
      </c>
      <c r="HG6" s="23"/>
      <c r="HH6" s="24"/>
      <c r="HI6" s="10"/>
      <c r="HJ6" s="23"/>
      <c r="HK6" s="23"/>
      <c r="HL6" s="28" t="str">
        <f>"クラス"&amp;HL$1</f>
        <v>クラス506</v>
      </c>
      <c r="HM6" s="23"/>
      <c r="HN6" s="24"/>
      <c r="HO6" s="29" t="str">
        <f>"クラス"&amp;HO$1</f>
        <v>クラス507</v>
      </c>
      <c r="HP6" s="23"/>
      <c r="HQ6" s="23"/>
      <c r="HR6" s="28" t="str">
        <f>"クラス"&amp;HR$1</f>
        <v>クラス508</v>
      </c>
      <c r="HS6" s="23"/>
      <c r="HT6" s="24"/>
      <c r="HU6" s="3"/>
      <c r="HV6" s="3"/>
    </row>
    <row r="7" spans="1:230" ht="17.100000000000001" customHeight="1" x14ac:dyDescent="0.45">
      <c r="A7" s="10"/>
      <c r="B7" s="11">
        <f ca="1">OFFSET(Gemini抽出データ!$A$1,A1,4)</f>
        <v>0</v>
      </c>
      <c r="C7" s="11" t="str">
        <f ca="1">IF(OFFSET(Gemini抽出データ!$A$1,A1,5)=0,"",OFFSET(Gemini抽出データ!$A$1,A1,5))</f>
        <v/>
      </c>
      <c r="D7" s="10">
        <f>A7</f>
        <v>0</v>
      </c>
      <c r="E7" s="11">
        <f ca="1">OFFSET(Gemini抽出データ!$A$1,D1,4)</f>
        <v>0</v>
      </c>
      <c r="F7" s="12" t="str">
        <f ca="1">IF(OFFSET(Gemini抽出データ!$A$1,D1,5)=0,"",OFFSET(Gemini抽出データ!$A$1,D1,5))</f>
        <v/>
      </c>
      <c r="G7" s="13">
        <f>A7</f>
        <v>0</v>
      </c>
      <c r="H7" s="11">
        <f ca="1">OFFSET(Gemini抽出データ!$A$1,G1,4)</f>
        <v>0</v>
      </c>
      <c r="I7" s="11" t="str">
        <f ca="1">IF(OFFSET(Gemini抽出データ!$A$1,G1,5)=0,"",OFFSET(Gemini抽出データ!$A$1,G1,5))</f>
        <v/>
      </c>
      <c r="J7" s="10">
        <f>G7</f>
        <v>0</v>
      </c>
      <c r="K7" s="11">
        <f ca="1">OFFSET(Gemini抽出データ!$A$1,J1,4)</f>
        <v>0</v>
      </c>
      <c r="L7" s="12" t="str">
        <f ca="1">IF(OFFSET(Gemini抽出データ!$A$1,J1,5)=0,"",OFFSET(Gemini抽出データ!$A$1,J1,5))</f>
        <v/>
      </c>
      <c r="M7" s="10"/>
      <c r="N7" s="11">
        <f ca="1">OFFSET(Gemini抽出データ!$A$1,M1,4)</f>
        <v>0</v>
      </c>
      <c r="O7" s="11" t="str">
        <f ca="1">IF(OFFSET(Gemini抽出データ!$A$1,M1,5)=0,"",OFFSET(Gemini抽出データ!$A$1,M1,5))</f>
        <v/>
      </c>
      <c r="P7" s="10">
        <f>M7</f>
        <v>0</v>
      </c>
      <c r="Q7" s="11">
        <f ca="1">OFFSET(Gemini抽出データ!$A$1,P1,4)</f>
        <v>0</v>
      </c>
      <c r="R7" s="12" t="str">
        <f ca="1">IF(OFFSET(Gemini抽出データ!$A$1,P1,5)=0,"",OFFSET(Gemini抽出データ!$A$1,P1,5))</f>
        <v/>
      </c>
      <c r="S7" s="13">
        <f>M7</f>
        <v>0</v>
      </c>
      <c r="T7" s="11">
        <f ca="1">OFFSET(Gemini抽出データ!$A$1,S1,4)</f>
        <v>0</v>
      </c>
      <c r="U7" s="11" t="str">
        <f ca="1">IF(OFFSET(Gemini抽出データ!$A$1,S1,5)=0,"",OFFSET(Gemini抽出データ!$A$1,S1,5))</f>
        <v/>
      </c>
      <c r="V7" s="10">
        <f>S7</f>
        <v>0</v>
      </c>
      <c r="W7" s="11">
        <f ca="1">OFFSET(Gemini抽出データ!$A$1,V1,4)</f>
        <v>0</v>
      </c>
      <c r="X7" s="12" t="str">
        <f ca="1">IF(OFFSET(Gemini抽出データ!$A$1,V1,5)=0,"",OFFSET(Gemini抽出データ!$A$1,V1,5))</f>
        <v/>
      </c>
      <c r="Y7" s="10"/>
      <c r="Z7" s="11">
        <f ca="1">OFFSET(Gemini抽出データ!$A$1,Y1,4)</f>
        <v>0</v>
      </c>
      <c r="AA7" s="11" t="str">
        <f ca="1">IF(OFFSET(Gemini抽出データ!$A$1,Y1,5)=0,"",OFFSET(Gemini抽出データ!$A$1,Y1,5))</f>
        <v/>
      </c>
      <c r="AB7" s="10">
        <f>Y7</f>
        <v>0</v>
      </c>
      <c r="AC7" s="11">
        <f ca="1">OFFSET(Gemini抽出データ!$A$1,AB1,4)</f>
        <v>0</v>
      </c>
      <c r="AD7" s="12" t="str">
        <f ca="1">IF(OFFSET(Gemini抽出データ!$A$1,AB1,5)=0,"",OFFSET(Gemini抽出データ!$A$1,AB1,5))</f>
        <v/>
      </c>
      <c r="AE7" s="13">
        <f>Y7</f>
        <v>0</v>
      </c>
      <c r="AF7" s="11">
        <f ca="1">OFFSET(Gemini抽出データ!$A$1,AE1,4)</f>
        <v>0</v>
      </c>
      <c r="AG7" s="11" t="str">
        <f ca="1">IF(OFFSET(Gemini抽出データ!$A$1,AE1,5)=0,"",OFFSET(Gemini抽出データ!$A$1,AE1,5))</f>
        <v/>
      </c>
      <c r="AH7" s="10">
        <f>AE7</f>
        <v>0</v>
      </c>
      <c r="AI7" s="11">
        <f ca="1">OFFSET(Gemini抽出データ!$A$1,AH1,4)</f>
        <v>0</v>
      </c>
      <c r="AJ7" s="12" t="str">
        <f ca="1">IF(OFFSET(Gemini抽出データ!$A$1,AH1,5)=0,"",OFFSET(Gemini抽出データ!$A$1,AH1,5))</f>
        <v/>
      </c>
      <c r="AK7" s="10"/>
      <c r="AL7" s="11">
        <f ca="1">OFFSET(Gemini抽出データ!$A$1,AK1,4)</f>
        <v>0</v>
      </c>
      <c r="AM7" s="11" t="str">
        <f ca="1">IF(OFFSET(Gemini抽出データ!$A$1,AK1,5)=0,"",OFFSET(Gemini抽出データ!$A$1,AK1,5))</f>
        <v/>
      </c>
      <c r="AN7" s="10">
        <f>AK7</f>
        <v>0</v>
      </c>
      <c r="AO7" s="11">
        <f ca="1">OFFSET(Gemini抽出データ!$A$1,AN1,4)</f>
        <v>0</v>
      </c>
      <c r="AP7" s="12" t="str">
        <f ca="1">IF(OFFSET(Gemini抽出データ!$A$1,AN1,5)=0,"",OFFSET(Gemini抽出データ!$A$1,AN1,5))</f>
        <v/>
      </c>
      <c r="AQ7" s="13">
        <f>AK7</f>
        <v>0</v>
      </c>
      <c r="AR7" s="11">
        <f ca="1">OFFSET(Gemini抽出データ!$A$1,AQ1,4)</f>
        <v>0</v>
      </c>
      <c r="AS7" s="11" t="str">
        <f ca="1">IF(OFFSET(Gemini抽出データ!$A$1,AQ1,5)=0,"",OFFSET(Gemini抽出データ!$A$1,AQ1,5))</f>
        <v/>
      </c>
      <c r="AT7" s="10">
        <f>AQ7</f>
        <v>0</v>
      </c>
      <c r="AU7" s="11">
        <f ca="1">OFFSET(Gemini抽出データ!$A$1,AT1,4)</f>
        <v>0</v>
      </c>
      <c r="AV7" s="12" t="str">
        <f ca="1">IF(OFFSET(Gemini抽出データ!$A$1,AT1,5)=0,"",OFFSET(Gemini抽出データ!$A$1,AT1,5))</f>
        <v/>
      </c>
      <c r="AW7" s="10"/>
      <c r="AX7" s="11">
        <f ca="1">OFFSET(Gemini抽出データ!$A$1,AW1,4)</f>
        <v>0</v>
      </c>
      <c r="AY7" s="11" t="str">
        <f ca="1">IF(OFFSET(Gemini抽出データ!$A$1,AW1,5)=0,"",OFFSET(Gemini抽出データ!$A$1,AW1,5))</f>
        <v/>
      </c>
      <c r="AZ7" s="10">
        <f>AW7</f>
        <v>0</v>
      </c>
      <c r="BA7" s="11">
        <f ca="1">OFFSET(Gemini抽出データ!$A$1,AZ1,4)</f>
        <v>0</v>
      </c>
      <c r="BB7" s="12" t="str">
        <f ca="1">IF(OFFSET(Gemini抽出データ!$A$1,AZ1,5)=0,"",OFFSET(Gemini抽出データ!$A$1,AZ1,5))</f>
        <v/>
      </c>
      <c r="BC7" s="13">
        <f>AW7</f>
        <v>0</v>
      </c>
      <c r="BD7" s="11">
        <f ca="1">OFFSET(Gemini抽出データ!$A$1,BC1,4)</f>
        <v>0</v>
      </c>
      <c r="BE7" s="11" t="str">
        <f ca="1">IF(OFFSET(Gemini抽出データ!$A$1,BC1,5)=0,"",OFFSET(Gemini抽出データ!$A$1,BC1,5))</f>
        <v/>
      </c>
      <c r="BF7" s="10">
        <f>BC7</f>
        <v>0</v>
      </c>
      <c r="BG7" s="11">
        <f ca="1">OFFSET(Gemini抽出データ!$A$1,BF1,4)</f>
        <v>0</v>
      </c>
      <c r="BH7" s="12" t="str">
        <f ca="1">IF(OFFSET(Gemini抽出データ!$A$1,BF1,5)=0,"",OFFSET(Gemini抽出データ!$A$1,BF1,5))</f>
        <v/>
      </c>
      <c r="BI7" s="10"/>
      <c r="BJ7" s="11">
        <f ca="1">OFFSET(Gemini抽出データ!$A$1,BI1,4)</f>
        <v>0</v>
      </c>
      <c r="BK7" s="11" t="str">
        <f ca="1">IF(OFFSET(Gemini抽出データ!$A$1,BI1,5)=0,"",OFFSET(Gemini抽出データ!$A$1,BI1,5))</f>
        <v/>
      </c>
      <c r="BL7" s="10">
        <f>BI7</f>
        <v>0</v>
      </c>
      <c r="BM7" s="11">
        <f ca="1">OFFSET(Gemini抽出データ!$A$1,BL1,4)</f>
        <v>0</v>
      </c>
      <c r="BN7" s="12" t="str">
        <f ca="1">IF(OFFSET(Gemini抽出データ!$A$1,BL1,5)=0,"",OFFSET(Gemini抽出データ!$A$1,BL1,5))</f>
        <v/>
      </c>
      <c r="BO7" s="13">
        <f>BI7</f>
        <v>0</v>
      </c>
      <c r="BP7" s="11">
        <f ca="1">OFFSET(Gemini抽出データ!$A$1,BO1,4)</f>
        <v>0</v>
      </c>
      <c r="BQ7" s="11" t="str">
        <f ca="1">IF(OFFSET(Gemini抽出データ!$A$1,BO1,5)=0,"",OFFSET(Gemini抽出データ!$A$1,BO1,5))</f>
        <v/>
      </c>
      <c r="BR7" s="10">
        <f>BO7</f>
        <v>0</v>
      </c>
      <c r="BS7" s="11">
        <f ca="1">OFFSET(Gemini抽出データ!$A$1,BR1,4)</f>
        <v>0</v>
      </c>
      <c r="BT7" s="12" t="str">
        <f ca="1">IF(OFFSET(Gemini抽出データ!$A$1,BR1,5)=0,"",OFFSET(Gemini抽出データ!$A$1,BR1,5))</f>
        <v/>
      </c>
      <c r="BU7" s="10"/>
      <c r="BV7" s="11">
        <f ca="1">OFFSET(Gemini抽出データ!$A$1,BU1,4)</f>
        <v>0</v>
      </c>
      <c r="BW7" s="11" t="str">
        <f ca="1">IF(OFFSET(Gemini抽出データ!$A$1,BU1,5)=0,"",OFFSET(Gemini抽出データ!$A$1,BU1,5))</f>
        <v/>
      </c>
      <c r="BX7" s="10">
        <f>BU7</f>
        <v>0</v>
      </c>
      <c r="BY7" s="11">
        <f ca="1">OFFSET(Gemini抽出データ!$A$1,BX1,4)</f>
        <v>0</v>
      </c>
      <c r="BZ7" s="12" t="str">
        <f ca="1">IF(OFFSET(Gemini抽出データ!$A$1,BX1,5)=0,"",OFFSET(Gemini抽出データ!$A$1,BX1,5))</f>
        <v/>
      </c>
      <c r="CA7" s="13">
        <f>BU7</f>
        <v>0</v>
      </c>
      <c r="CB7" s="11">
        <f ca="1">OFFSET(Gemini抽出データ!$A$1,CA1,4)</f>
        <v>0</v>
      </c>
      <c r="CC7" s="11" t="str">
        <f ca="1">IF(OFFSET(Gemini抽出データ!$A$1,CA1,5)=0,"",OFFSET(Gemini抽出データ!$A$1,CA1,5))</f>
        <v/>
      </c>
      <c r="CD7" s="10">
        <f>CA7</f>
        <v>0</v>
      </c>
      <c r="CE7" s="11">
        <f ca="1">OFFSET(Gemini抽出データ!$A$1,CD1,4)</f>
        <v>0</v>
      </c>
      <c r="CF7" s="12" t="str">
        <f ca="1">IF(OFFSET(Gemini抽出データ!$A$1,CD1,5)=0,"",OFFSET(Gemini抽出データ!$A$1,CD1,5))</f>
        <v/>
      </c>
      <c r="CG7" s="10"/>
      <c r="CH7" s="11">
        <f ca="1">OFFSET(Gemini抽出データ!$A$1,CG1,4)</f>
        <v>0</v>
      </c>
      <c r="CI7" s="11" t="str">
        <f ca="1">IF(OFFSET(Gemini抽出データ!$A$1,CG1,5)=0,"",OFFSET(Gemini抽出データ!$A$1,CG1,5))</f>
        <v/>
      </c>
      <c r="CJ7" s="10">
        <f>CG7</f>
        <v>0</v>
      </c>
      <c r="CK7" s="11">
        <f ca="1">OFFSET(Gemini抽出データ!$A$1,CJ1,4)</f>
        <v>0</v>
      </c>
      <c r="CL7" s="12" t="str">
        <f ca="1">IF(OFFSET(Gemini抽出データ!$A$1,CJ1,5)=0,"",OFFSET(Gemini抽出データ!$A$1,CJ1,5))</f>
        <v/>
      </c>
      <c r="CM7" s="13">
        <f>CG7</f>
        <v>0</v>
      </c>
      <c r="CN7" s="11">
        <f ca="1">OFFSET(Gemini抽出データ!$A$1,CM1,4)</f>
        <v>0</v>
      </c>
      <c r="CO7" s="11" t="str">
        <f ca="1">IF(OFFSET(Gemini抽出データ!$A$1,CM1,5)=0,"",OFFSET(Gemini抽出データ!$A$1,CM1,5))</f>
        <v/>
      </c>
      <c r="CP7" s="10">
        <f>CM7</f>
        <v>0</v>
      </c>
      <c r="CQ7" s="11">
        <f ca="1">OFFSET(Gemini抽出データ!$A$1,CP1,4)</f>
        <v>0</v>
      </c>
      <c r="CR7" s="12" t="str">
        <f ca="1">IF(OFFSET(Gemini抽出データ!$A$1,CP1,5)=0,"",OFFSET(Gemini抽出データ!$A$1,CP1,5))</f>
        <v/>
      </c>
      <c r="CS7" s="10"/>
      <c r="CT7" s="11">
        <f ca="1">OFFSET(Gemini抽出データ!$A$1,CS1,4)</f>
        <v>0</v>
      </c>
      <c r="CU7" s="11" t="str">
        <f ca="1">IF(OFFSET(Gemini抽出データ!$A$1,CS1,5)=0,"",OFFSET(Gemini抽出データ!$A$1,CS1,5))</f>
        <v/>
      </c>
      <c r="CV7" s="10">
        <f>CS7</f>
        <v>0</v>
      </c>
      <c r="CW7" s="11">
        <f ca="1">OFFSET(Gemini抽出データ!$A$1,CV1,4)</f>
        <v>0</v>
      </c>
      <c r="CX7" s="12" t="str">
        <f ca="1">IF(OFFSET(Gemini抽出データ!$A$1,CV1,5)=0,"",OFFSET(Gemini抽出データ!$A$1,CV1,5))</f>
        <v/>
      </c>
      <c r="CY7" s="13">
        <f>CS7</f>
        <v>0</v>
      </c>
      <c r="CZ7" s="11">
        <f ca="1">OFFSET(Gemini抽出データ!$A$1,CY1,4)</f>
        <v>0</v>
      </c>
      <c r="DA7" s="11" t="str">
        <f ca="1">IF(OFFSET(Gemini抽出データ!$A$1,CY1,5)=0,"",OFFSET(Gemini抽出データ!$A$1,CY1,5))</f>
        <v/>
      </c>
      <c r="DB7" s="10">
        <f>CY7</f>
        <v>0</v>
      </c>
      <c r="DC7" s="11">
        <f ca="1">OFFSET(Gemini抽出データ!$A$1,DB1,4)</f>
        <v>0</v>
      </c>
      <c r="DD7" s="12" t="str">
        <f ca="1">IF(OFFSET(Gemini抽出データ!$A$1,DB1,5)=0,"",OFFSET(Gemini抽出データ!$A$1,DB1,5))</f>
        <v/>
      </c>
      <c r="DE7" s="10"/>
      <c r="DF7" s="11">
        <f ca="1">OFFSET(Gemini抽出データ!$A$1,DE1,4)</f>
        <v>0</v>
      </c>
      <c r="DG7" s="11" t="str">
        <f ca="1">IF(OFFSET(Gemini抽出データ!$A$1,DE1,5)=0,"",OFFSET(Gemini抽出データ!$A$1,DE1,5))</f>
        <v/>
      </c>
      <c r="DH7" s="10">
        <f>DE7</f>
        <v>0</v>
      </c>
      <c r="DI7" s="11">
        <f ca="1">OFFSET(Gemini抽出データ!$A$1,DH1,4)</f>
        <v>0</v>
      </c>
      <c r="DJ7" s="12" t="str">
        <f ca="1">IF(OFFSET(Gemini抽出データ!$A$1,DH1,5)=0,"",OFFSET(Gemini抽出データ!$A$1,DH1,5))</f>
        <v/>
      </c>
      <c r="DK7" s="13">
        <f>DE7</f>
        <v>0</v>
      </c>
      <c r="DL7" s="11">
        <f ca="1">OFFSET(Gemini抽出データ!$A$1,DK1,4)</f>
        <v>0</v>
      </c>
      <c r="DM7" s="11" t="str">
        <f ca="1">IF(OFFSET(Gemini抽出データ!$A$1,DK1,5)=0,"",OFFSET(Gemini抽出データ!$A$1,DK1,5))</f>
        <v/>
      </c>
      <c r="DN7" s="10">
        <f>DK7</f>
        <v>0</v>
      </c>
      <c r="DO7" s="11">
        <f ca="1">OFFSET(Gemini抽出データ!$A$1,DN1,4)</f>
        <v>0</v>
      </c>
      <c r="DP7" s="12" t="str">
        <f ca="1">IF(OFFSET(Gemini抽出データ!$A$1,DN1,5)=0,"",OFFSET(Gemini抽出データ!$A$1,DN1,5))</f>
        <v/>
      </c>
      <c r="DQ7" s="10"/>
      <c r="DR7" s="11">
        <f ca="1">OFFSET(Gemini抽出データ!$A$1,DQ1,4)</f>
        <v>0</v>
      </c>
      <c r="DS7" s="11" t="str">
        <f ca="1">IF(OFFSET(Gemini抽出データ!$A$1,DQ1,5)=0,"",OFFSET(Gemini抽出データ!$A$1,DQ1,5))</f>
        <v/>
      </c>
      <c r="DT7" s="10">
        <f>DQ7</f>
        <v>0</v>
      </c>
      <c r="DU7" s="11">
        <f ca="1">OFFSET(Gemini抽出データ!$A$1,DT1,4)</f>
        <v>0</v>
      </c>
      <c r="DV7" s="12" t="str">
        <f ca="1">IF(OFFSET(Gemini抽出データ!$A$1,DT1,5)=0,"",OFFSET(Gemini抽出データ!$A$1,DT1,5))</f>
        <v/>
      </c>
      <c r="DW7" s="13">
        <f>DQ7</f>
        <v>0</v>
      </c>
      <c r="DX7" s="11">
        <f ca="1">OFFSET(Gemini抽出データ!$A$1,DW1,4)</f>
        <v>0</v>
      </c>
      <c r="DY7" s="11" t="str">
        <f ca="1">IF(OFFSET(Gemini抽出データ!$A$1,DW1,5)=0,"",OFFSET(Gemini抽出データ!$A$1,DW1,5))</f>
        <v/>
      </c>
      <c r="DZ7" s="10">
        <f>DW7</f>
        <v>0</v>
      </c>
      <c r="EA7" s="11">
        <f ca="1">OFFSET(Gemini抽出データ!$A$1,DZ1,4)</f>
        <v>0</v>
      </c>
      <c r="EB7" s="12" t="str">
        <f ca="1">IF(OFFSET(Gemini抽出データ!$A$1,DZ1,5)=0,"",OFFSET(Gemini抽出データ!$A$1,DZ1,5))</f>
        <v/>
      </c>
      <c r="EC7" s="10"/>
      <c r="ED7" s="11">
        <f ca="1">OFFSET(Gemini抽出データ!$A$1,EC1,4)</f>
        <v>0</v>
      </c>
      <c r="EE7" s="11" t="str">
        <f ca="1">IF(OFFSET(Gemini抽出データ!$A$1,EC1,5)=0,"",OFFSET(Gemini抽出データ!$A$1,EC1,5))</f>
        <v/>
      </c>
      <c r="EF7" s="10">
        <f>EC7</f>
        <v>0</v>
      </c>
      <c r="EG7" s="11">
        <f ca="1">OFFSET(Gemini抽出データ!$A$1,EF1,4)</f>
        <v>0</v>
      </c>
      <c r="EH7" s="12" t="str">
        <f ca="1">IF(OFFSET(Gemini抽出データ!$A$1,EF1,5)=0,"",OFFSET(Gemini抽出データ!$A$1,EF1,5))</f>
        <v/>
      </c>
      <c r="EI7" s="13">
        <f>EC7</f>
        <v>0</v>
      </c>
      <c r="EJ7" s="11">
        <f ca="1">OFFSET(Gemini抽出データ!$A$1,EI1,4)</f>
        <v>0</v>
      </c>
      <c r="EK7" s="11" t="str">
        <f ca="1">IF(OFFSET(Gemini抽出データ!$A$1,EI1,5)=0,"",OFFSET(Gemini抽出データ!$A$1,EI1,5))</f>
        <v/>
      </c>
      <c r="EL7" s="10">
        <f>EI7</f>
        <v>0</v>
      </c>
      <c r="EM7" s="11">
        <f ca="1">OFFSET(Gemini抽出データ!$A$1,EL1,4)</f>
        <v>0</v>
      </c>
      <c r="EN7" s="12" t="str">
        <f ca="1">IF(OFFSET(Gemini抽出データ!$A$1,EL1,5)=0,"",OFFSET(Gemini抽出データ!$A$1,EL1,5))</f>
        <v/>
      </c>
      <c r="EO7" s="10"/>
      <c r="EP7" s="11">
        <f ca="1">OFFSET(Gemini抽出データ!$A$1,EO1,4)</f>
        <v>0</v>
      </c>
      <c r="EQ7" s="11" t="str">
        <f ca="1">IF(OFFSET(Gemini抽出データ!$A$1,EO1,5)=0,"",OFFSET(Gemini抽出データ!$A$1,EO1,5))</f>
        <v/>
      </c>
      <c r="ER7" s="10">
        <f>EO7</f>
        <v>0</v>
      </c>
      <c r="ES7" s="11">
        <f ca="1">OFFSET(Gemini抽出データ!$A$1,ER1,4)</f>
        <v>0</v>
      </c>
      <c r="ET7" s="12" t="str">
        <f ca="1">IF(OFFSET(Gemini抽出データ!$A$1,ER1,5)=0,"",OFFSET(Gemini抽出データ!$A$1,ER1,5))</f>
        <v/>
      </c>
      <c r="EU7" s="13">
        <f>EO7</f>
        <v>0</v>
      </c>
      <c r="EV7" s="11">
        <f ca="1">OFFSET(Gemini抽出データ!$A$1,EU1,4)</f>
        <v>0</v>
      </c>
      <c r="EW7" s="11" t="str">
        <f ca="1">IF(OFFSET(Gemini抽出データ!$A$1,EU1,5)=0,"",OFFSET(Gemini抽出データ!$A$1,EU1,5))</f>
        <v/>
      </c>
      <c r="EX7" s="10">
        <f>EU7</f>
        <v>0</v>
      </c>
      <c r="EY7" s="11">
        <f ca="1">OFFSET(Gemini抽出データ!$A$1,EX1,4)</f>
        <v>0</v>
      </c>
      <c r="EZ7" s="12" t="str">
        <f ca="1">IF(OFFSET(Gemini抽出データ!$A$1,EX1,5)=0,"",OFFSET(Gemini抽出データ!$A$1,EX1,5))</f>
        <v/>
      </c>
      <c r="FA7" s="10"/>
      <c r="FB7" s="11">
        <f ca="1">OFFSET(Gemini抽出データ!$A$1,FA1,4)</f>
        <v>0</v>
      </c>
      <c r="FC7" s="11" t="str">
        <f ca="1">IF(OFFSET(Gemini抽出データ!$A$1,FA1,5)=0,"",OFFSET(Gemini抽出データ!$A$1,FA1,5))</f>
        <v/>
      </c>
      <c r="FD7" s="10">
        <f>FA7</f>
        <v>0</v>
      </c>
      <c r="FE7" s="11">
        <f ca="1">OFFSET(Gemini抽出データ!$A$1,FD1,4)</f>
        <v>0</v>
      </c>
      <c r="FF7" s="12" t="str">
        <f ca="1">IF(OFFSET(Gemini抽出データ!$A$1,FD1,5)=0,"",OFFSET(Gemini抽出データ!$A$1,FD1,5))</f>
        <v/>
      </c>
      <c r="FG7" s="13">
        <f>FA7</f>
        <v>0</v>
      </c>
      <c r="FH7" s="11">
        <f ca="1">OFFSET(Gemini抽出データ!$A$1,FG1,4)</f>
        <v>0</v>
      </c>
      <c r="FI7" s="11" t="str">
        <f ca="1">IF(OFFSET(Gemini抽出データ!$A$1,FG1,5)=0,"",OFFSET(Gemini抽出データ!$A$1,FG1,5))</f>
        <v/>
      </c>
      <c r="FJ7" s="10">
        <f>FG7</f>
        <v>0</v>
      </c>
      <c r="FK7" s="11">
        <f ca="1">OFFSET(Gemini抽出データ!$A$1,FJ1,4)</f>
        <v>0</v>
      </c>
      <c r="FL7" s="12" t="str">
        <f ca="1">IF(OFFSET(Gemini抽出データ!$A$1,FJ1,5)=0,"",OFFSET(Gemini抽出データ!$A$1,FJ1,5))</f>
        <v/>
      </c>
      <c r="FM7" s="10"/>
      <c r="FN7" s="11">
        <f ca="1">OFFSET(Gemini抽出データ!$A$1,FM1,4)</f>
        <v>0</v>
      </c>
      <c r="FO7" s="11" t="str">
        <f ca="1">IF(OFFSET(Gemini抽出データ!$A$1,FM1,5)=0,"",OFFSET(Gemini抽出データ!$A$1,FM1,5))</f>
        <v/>
      </c>
      <c r="FP7" s="10">
        <f>FM7</f>
        <v>0</v>
      </c>
      <c r="FQ7" s="11">
        <f ca="1">OFFSET(Gemini抽出データ!$A$1,FP1,4)</f>
        <v>0</v>
      </c>
      <c r="FR7" s="12" t="str">
        <f ca="1">IF(OFFSET(Gemini抽出データ!$A$1,FP1,5)=0,"",OFFSET(Gemini抽出データ!$A$1,FP1,5))</f>
        <v/>
      </c>
      <c r="FS7" s="13">
        <f>FM7</f>
        <v>0</v>
      </c>
      <c r="FT7" s="11">
        <f ca="1">OFFSET(Gemini抽出データ!$A$1,FS1,4)</f>
        <v>0</v>
      </c>
      <c r="FU7" s="11" t="str">
        <f ca="1">IF(OFFSET(Gemini抽出データ!$A$1,FS1,5)=0,"",OFFSET(Gemini抽出データ!$A$1,FS1,5))</f>
        <v/>
      </c>
      <c r="FV7" s="10">
        <f>FS7</f>
        <v>0</v>
      </c>
      <c r="FW7" s="11">
        <f ca="1">OFFSET(Gemini抽出データ!$A$1,FV1,4)</f>
        <v>0</v>
      </c>
      <c r="FX7" s="12" t="str">
        <f ca="1">IF(OFFSET(Gemini抽出データ!$A$1,FV1,5)=0,"",OFFSET(Gemini抽出データ!$A$1,FV1,5))</f>
        <v/>
      </c>
      <c r="FY7" s="10"/>
      <c r="FZ7" s="11">
        <f ca="1">OFFSET(Gemini抽出データ!$A$1,FY1,4)</f>
        <v>0</v>
      </c>
      <c r="GA7" s="11" t="str">
        <f ca="1">IF(OFFSET(Gemini抽出データ!$A$1,FY1,5)=0,"",OFFSET(Gemini抽出データ!$A$1,FY1,5))</f>
        <v/>
      </c>
      <c r="GB7" s="10">
        <f>FY7</f>
        <v>0</v>
      </c>
      <c r="GC7" s="11">
        <f ca="1">OFFSET(Gemini抽出データ!$A$1,GB1,4)</f>
        <v>0</v>
      </c>
      <c r="GD7" s="12" t="str">
        <f ca="1">IF(OFFSET(Gemini抽出データ!$A$1,GB1,5)=0,"",OFFSET(Gemini抽出データ!$A$1,GB1,5))</f>
        <v/>
      </c>
      <c r="GE7" s="13">
        <f>FY7</f>
        <v>0</v>
      </c>
      <c r="GF7" s="11">
        <f ca="1">OFFSET(Gemini抽出データ!$A$1,GE1,4)</f>
        <v>0</v>
      </c>
      <c r="GG7" s="11" t="str">
        <f ca="1">IF(OFFSET(Gemini抽出データ!$A$1,GE1,5)=0,"",OFFSET(Gemini抽出データ!$A$1,GE1,5))</f>
        <v/>
      </c>
      <c r="GH7" s="10">
        <f>GE7</f>
        <v>0</v>
      </c>
      <c r="GI7" s="11">
        <f ca="1">OFFSET(Gemini抽出データ!$A$1,GH1,4)</f>
        <v>0</v>
      </c>
      <c r="GJ7" s="12" t="str">
        <f ca="1">IF(OFFSET(Gemini抽出データ!$A$1,GH1,5)=0,"",OFFSET(Gemini抽出データ!$A$1,GH1,5))</f>
        <v/>
      </c>
      <c r="GK7" s="10"/>
      <c r="GL7" s="11">
        <f ca="1">OFFSET(Gemini抽出データ!$A$1,GK1,4)</f>
        <v>0</v>
      </c>
      <c r="GM7" s="11" t="str">
        <f ca="1">IF(OFFSET(Gemini抽出データ!$A$1,GK1,5)=0,"",OFFSET(Gemini抽出データ!$A$1,GK1,5))</f>
        <v/>
      </c>
      <c r="GN7" s="10">
        <f>GK7</f>
        <v>0</v>
      </c>
      <c r="GO7" s="11">
        <f ca="1">OFFSET(Gemini抽出データ!$A$1,GN1,4)</f>
        <v>0</v>
      </c>
      <c r="GP7" s="12" t="str">
        <f ca="1">IF(OFFSET(Gemini抽出データ!$A$1,GN1,5)=0,"",OFFSET(Gemini抽出データ!$A$1,GN1,5))</f>
        <v/>
      </c>
      <c r="GQ7" s="13">
        <f>GK7</f>
        <v>0</v>
      </c>
      <c r="GR7" s="11">
        <f ca="1">OFFSET(Gemini抽出データ!$A$1,GQ1,4)</f>
        <v>0</v>
      </c>
      <c r="GS7" s="11" t="str">
        <f ca="1">IF(OFFSET(Gemini抽出データ!$A$1,GQ1,5)=0,"",OFFSET(Gemini抽出データ!$A$1,GQ1,5))</f>
        <v/>
      </c>
      <c r="GT7" s="10">
        <f>GQ7</f>
        <v>0</v>
      </c>
      <c r="GU7" s="11">
        <f ca="1">OFFSET(Gemini抽出データ!$A$1,GT1,4)</f>
        <v>0</v>
      </c>
      <c r="GV7" s="12" t="str">
        <f ca="1">IF(OFFSET(Gemini抽出データ!$A$1,GT1,5)=0,"",OFFSET(Gemini抽出データ!$A$1,GT1,5))</f>
        <v/>
      </c>
      <c r="GW7" s="10"/>
      <c r="GX7" s="11">
        <f ca="1">OFFSET(Gemini抽出データ!$A$1,GW1,4)</f>
        <v>0</v>
      </c>
      <c r="GY7" s="11" t="str">
        <f ca="1">IF(OFFSET(Gemini抽出データ!$A$1,GW1,5)=0,"",OFFSET(Gemini抽出データ!$A$1,GW1,5))</f>
        <v/>
      </c>
      <c r="GZ7" s="10">
        <f>GW7</f>
        <v>0</v>
      </c>
      <c r="HA7" s="11">
        <f ca="1">OFFSET(Gemini抽出データ!$A$1,GZ1,4)</f>
        <v>0</v>
      </c>
      <c r="HB7" s="12" t="str">
        <f ca="1">IF(OFFSET(Gemini抽出データ!$A$1,GZ1,5)=0,"",OFFSET(Gemini抽出データ!$A$1,GZ1,5))</f>
        <v/>
      </c>
      <c r="HC7" s="13">
        <f>GW7</f>
        <v>0</v>
      </c>
      <c r="HD7" s="11">
        <f ca="1">OFFSET(Gemini抽出データ!$A$1,HC1,4)</f>
        <v>0</v>
      </c>
      <c r="HE7" s="11" t="str">
        <f ca="1">IF(OFFSET(Gemini抽出データ!$A$1,HC1,5)=0,"",OFFSET(Gemini抽出データ!$A$1,HC1,5))</f>
        <v/>
      </c>
      <c r="HF7" s="10">
        <f>HC7</f>
        <v>0</v>
      </c>
      <c r="HG7" s="11">
        <f ca="1">OFFSET(Gemini抽出データ!$A$1,HF1,4)</f>
        <v>0</v>
      </c>
      <c r="HH7" s="12" t="str">
        <f ca="1">IF(OFFSET(Gemini抽出データ!$A$1,HF1,5)=0,"",OFFSET(Gemini抽出データ!$A$1,HF1,5))</f>
        <v/>
      </c>
      <c r="HI7" s="10"/>
      <c r="HJ7" s="11">
        <f ca="1">OFFSET(Gemini抽出データ!$A$1,HI1,4)</f>
        <v>0</v>
      </c>
      <c r="HK7" s="11" t="str">
        <f ca="1">IF(OFFSET(Gemini抽出データ!$A$1,HI1,5)=0,"",OFFSET(Gemini抽出データ!$A$1,HI1,5))</f>
        <v/>
      </c>
      <c r="HL7" s="10">
        <f>HI7</f>
        <v>0</v>
      </c>
      <c r="HM7" s="11">
        <f ca="1">OFFSET(Gemini抽出データ!$A$1,HL1,4)</f>
        <v>0</v>
      </c>
      <c r="HN7" s="12" t="str">
        <f ca="1">IF(OFFSET(Gemini抽出データ!$A$1,HL1,5)=0,"",OFFSET(Gemini抽出データ!$A$1,HL1,5))</f>
        <v/>
      </c>
      <c r="HO7" s="13">
        <f>HI7</f>
        <v>0</v>
      </c>
      <c r="HP7" s="11">
        <f ca="1">OFFSET(Gemini抽出データ!$A$1,HO1,4)</f>
        <v>0</v>
      </c>
      <c r="HQ7" s="11" t="str">
        <f ca="1">IF(OFFSET(Gemini抽出データ!$A$1,HO1,5)=0,"",OFFSET(Gemini抽出データ!$A$1,HO1,5))</f>
        <v/>
      </c>
      <c r="HR7" s="10">
        <f>HO7</f>
        <v>0</v>
      </c>
      <c r="HS7" s="11">
        <f ca="1">OFFSET(Gemini抽出データ!$A$1,HR1,4)</f>
        <v>0</v>
      </c>
      <c r="HT7" s="12" t="str">
        <f ca="1">IF(OFFSET(Gemini抽出データ!$A$1,HR1,5)=0,"",OFFSET(Gemini抽出データ!$A$1,HR1,5))</f>
        <v/>
      </c>
      <c r="HU7" t="e">
        <f ca="1">OFFSET(Gemini抽出データ!$A$1,#REF!,4)</f>
        <v>#REF!</v>
      </c>
      <c r="HV7" t="e">
        <f ca="1">IF(OFFSET(Gemini抽出データ!$A$1,#REF!,5)=0,"",OFFSET(Gemini抽出データ!$A$1,#REF!,5))</f>
        <v>#REF!</v>
      </c>
    </row>
    <row r="8" spans="1:230" ht="17.100000000000001" customHeight="1" x14ac:dyDescent="0.45">
      <c r="A8" s="5">
        <f>J1+1</f>
        <v>5</v>
      </c>
      <c r="B8" s="6">
        <f ca="1">OFFSET(Gemini抽出データ!$A$1,A8,0)</f>
        <v>0</v>
      </c>
      <c r="C8" s="6"/>
      <c r="D8" s="5">
        <f>A8+1</f>
        <v>6</v>
      </c>
      <c r="E8" s="6">
        <f ca="1">OFFSET(Gemini抽出データ!$A$1,D8,0)</f>
        <v>0</v>
      </c>
      <c r="F8" s="32"/>
      <c r="G8" s="9">
        <f>D8+1</f>
        <v>7</v>
      </c>
      <c r="H8" s="6">
        <f ca="1">OFFSET(Gemini抽出データ!$A$1,G8,0)</f>
        <v>0</v>
      </c>
      <c r="I8" s="6"/>
      <c r="J8" s="5">
        <f>G8+1</f>
        <v>8</v>
      </c>
      <c r="K8" s="6">
        <f ca="1">OFFSET(Gemini抽出データ!$A$1,J8,0)</f>
        <v>0</v>
      </c>
      <c r="L8" s="32"/>
      <c r="M8" s="5">
        <f>V1+1</f>
        <v>33</v>
      </c>
      <c r="N8" s="6">
        <f ca="1">OFFSET(Gemini抽出データ!$A$1,M8,0)</f>
        <v>0</v>
      </c>
      <c r="O8" s="6"/>
      <c r="P8" s="5">
        <f>M8+1</f>
        <v>34</v>
      </c>
      <c r="Q8" s="6">
        <f ca="1">OFFSET(Gemini抽出データ!$A$1,P8,0)</f>
        <v>0</v>
      </c>
      <c r="R8" s="32"/>
      <c r="S8" s="9">
        <f>P8+1</f>
        <v>35</v>
      </c>
      <c r="T8" s="6">
        <f ca="1">OFFSET(Gemini抽出データ!$A$1,S8,0)</f>
        <v>0</v>
      </c>
      <c r="U8" s="6"/>
      <c r="V8" s="5">
        <f>S8+1</f>
        <v>36</v>
      </c>
      <c r="W8" s="6">
        <f ca="1">OFFSET(Gemini抽出データ!$A$1,V8,0)</f>
        <v>0</v>
      </c>
      <c r="X8" s="32"/>
      <c r="Y8" s="5">
        <f>AH1+1</f>
        <v>61</v>
      </c>
      <c r="Z8" s="6">
        <f ca="1">OFFSET(Gemini抽出データ!$A$1,Y8,0)</f>
        <v>0</v>
      </c>
      <c r="AA8" s="6"/>
      <c r="AB8" s="5">
        <f>Y8+1</f>
        <v>62</v>
      </c>
      <c r="AC8" s="6">
        <f ca="1">OFFSET(Gemini抽出データ!$A$1,AB8,0)</f>
        <v>0</v>
      </c>
      <c r="AD8" s="32"/>
      <c r="AE8" s="9">
        <f>AB8+1</f>
        <v>63</v>
      </c>
      <c r="AF8" s="6">
        <f ca="1">OFFSET(Gemini抽出データ!$A$1,AE8,0)</f>
        <v>0</v>
      </c>
      <c r="AG8" s="6"/>
      <c r="AH8" s="5">
        <f>AE8+1</f>
        <v>64</v>
      </c>
      <c r="AI8" s="6">
        <f ca="1">OFFSET(Gemini抽出データ!$A$1,AH8,0)</f>
        <v>0</v>
      </c>
      <c r="AJ8" s="32"/>
      <c r="AK8" s="5">
        <f>AT1+1</f>
        <v>89</v>
      </c>
      <c r="AL8" s="6">
        <f ca="1">OFFSET(Gemini抽出データ!$A$1,AK8,0)</f>
        <v>0</v>
      </c>
      <c r="AM8" s="6"/>
      <c r="AN8" s="5">
        <f>AK8+1</f>
        <v>90</v>
      </c>
      <c r="AO8" s="6">
        <f ca="1">OFFSET(Gemini抽出データ!$A$1,AN8,0)</f>
        <v>0</v>
      </c>
      <c r="AP8" s="32"/>
      <c r="AQ8" s="9">
        <f>AN8+1</f>
        <v>91</v>
      </c>
      <c r="AR8" s="6">
        <f ca="1">OFFSET(Gemini抽出データ!$A$1,AQ8,0)</f>
        <v>0</v>
      </c>
      <c r="AS8" s="6"/>
      <c r="AT8" s="5">
        <f>AQ8+1</f>
        <v>92</v>
      </c>
      <c r="AU8" s="6">
        <f ca="1">OFFSET(Gemini抽出データ!$A$1,AT8,0)</f>
        <v>0</v>
      </c>
      <c r="AV8" s="32"/>
      <c r="AW8" s="5">
        <f>BF1+1</f>
        <v>117</v>
      </c>
      <c r="AX8" s="6">
        <f ca="1">OFFSET(Gemini抽出データ!$A$1,AW8,0)</f>
        <v>0</v>
      </c>
      <c r="AY8" s="6"/>
      <c r="AZ8" s="5">
        <f>AW8+1</f>
        <v>118</v>
      </c>
      <c r="BA8" s="6">
        <f ca="1">OFFSET(Gemini抽出データ!$A$1,AZ8,0)</f>
        <v>0</v>
      </c>
      <c r="BB8" s="32"/>
      <c r="BC8" s="9">
        <f>AZ8+1</f>
        <v>119</v>
      </c>
      <c r="BD8" s="6">
        <f ca="1">OFFSET(Gemini抽出データ!$A$1,BC8,0)</f>
        <v>0</v>
      </c>
      <c r="BE8" s="6"/>
      <c r="BF8" s="5">
        <f>BC8+1</f>
        <v>120</v>
      </c>
      <c r="BG8" s="6">
        <f ca="1">OFFSET(Gemini抽出データ!$A$1,BF8,0)</f>
        <v>0</v>
      </c>
      <c r="BH8" s="32"/>
      <c r="BI8" s="5">
        <f>BR1+1</f>
        <v>145</v>
      </c>
      <c r="BJ8" s="6">
        <f ca="1">OFFSET(Gemini抽出データ!$A$1,BI8,0)</f>
        <v>0</v>
      </c>
      <c r="BK8" s="6"/>
      <c r="BL8" s="5">
        <f>BI8+1</f>
        <v>146</v>
      </c>
      <c r="BM8" s="6">
        <f ca="1">OFFSET(Gemini抽出データ!$A$1,BL8,0)</f>
        <v>0</v>
      </c>
      <c r="BN8" s="32"/>
      <c r="BO8" s="9">
        <f>BL8+1</f>
        <v>147</v>
      </c>
      <c r="BP8" s="6">
        <f ca="1">OFFSET(Gemini抽出データ!$A$1,BO8,0)</f>
        <v>0</v>
      </c>
      <c r="BQ8" s="6"/>
      <c r="BR8" s="5">
        <f>BO8+1</f>
        <v>148</v>
      </c>
      <c r="BS8" s="6">
        <f ca="1">OFFSET(Gemini抽出データ!$A$1,BR8,0)</f>
        <v>0</v>
      </c>
      <c r="BT8" s="32"/>
      <c r="BU8" s="5">
        <f>CD1+1</f>
        <v>173</v>
      </c>
      <c r="BV8" s="6">
        <f ca="1">OFFSET(Gemini抽出データ!$A$1,BU8,0)</f>
        <v>0</v>
      </c>
      <c r="BW8" s="6"/>
      <c r="BX8" s="5">
        <f>BU8+1</f>
        <v>174</v>
      </c>
      <c r="BY8" s="6">
        <f ca="1">OFFSET(Gemini抽出データ!$A$1,BX8,0)</f>
        <v>0</v>
      </c>
      <c r="BZ8" s="32"/>
      <c r="CA8" s="9">
        <f>BX8+1</f>
        <v>175</v>
      </c>
      <c r="CB8" s="6">
        <f ca="1">OFFSET(Gemini抽出データ!$A$1,CA8,0)</f>
        <v>0</v>
      </c>
      <c r="CC8" s="6"/>
      <c r="CD8" s="5">
        <f>CA8+1</f>
        <v>176</v>
      </c>
      <c r="CE8" s="6">
        <f ca="1">OFFSET(Gemini抽出データ!$A$1,CD8,0)</f>
        <v>0</v>
      </c>
      <c r="CF8" s="32"/>
      <c r="CG8" s="5">
        <f>CP1+1</f>
        <v>201</v>
      </c>
      <c r="CH8" s="6">
        <f ca="1">OFFSET(Gemini抽出データ!$A$1,CG8,0)</f>
        <v>0</v>
      </c>
      <c r="CI8" s="6"/>
      <c r="CJ8" s="5">
        <f>CG8+1</f>
        <v>202</v>
      </c>
      <c r="CK8" s="6">
        <f ca="1">OFFSET(Gemini抽出データ!$A$1,CJ8,0)</f>
        <v>0</v>
      </c>
      <c r="CL8" s="32"/>
      <c r="CM8" s="9">
        <f>CJ8+1</f>
        <v>203</v>
      </c>
      <c r="CN8" s="6">
        <f ca="1">OFFSET(Gemini抽出データ!$A$1,CM8,0)</f>
        <v>0</v>
      </c>
      <c r="CO8" s="6"/>
      <c r="CP8" s="5">
        <f>CM8+1</f>
        <v>204</v>
      </c>
      <c r="CQ8" s="6">
        <f ca="1">OFFSET(Gemini抽出データ!$A$1,CP8,0)</f>
        <v>0</v>
      </c>
      <c r="CR8" s="32"/>
      <c r="CS8" s="5">
        <f>DB1+1</f>
        <v>229</v>
      </c>
      <c r="CT8" s="6">
        <f ca="1">OFFSET(Gemini抽出データ!$A$1,CS8,0)</f>
        <v>0</v>
      </c>
      <c r="CU8" s="6"/>
      <c r="CV8" s="5">
        <f>CS8+1</f>
        <v>230</v>
      </c>
      <c r="CW8" s="6">
        <f ca="1">OFFSET(Gemini抽出データ!$A$1,CV8,0)</f>
        <v>0</v>
      </c>
      <c r="CX8" s="32"/>
      <c r="CY8" s="9">
        <f>CV8+1</f>
        <v>231</v>
      </c>
      <c r="CZ8" s="6">
        <f ca="1">OFFSET(Gemini抽出データ!$A$1,CY8,0)</f>
        <v>0</v>
      </c>
      <c r="DA8" s="6"/>
      <c r="DB8" s="5">
        <f>CY8+1</f>
        <v>232</v>
      </c>
      <c r="DC8" s="6">
        <f ca="1">OFFSET(Gemini抽出データ!$A$1,DB8,0)</f>
        <v>0</v>
      </c>
      <c r="DD8" s="32"/>
      <c r="DE8" s="5">
        <f>DN1+1</f>
        <v>257</v>
      </c>
      <c r="DF8" s="6">
        <f ca="1">OFFSET(Gemini抽出データ!$A$1,DE8,0)</f>
        <v>0</v>
      </c>
      <c r="DG8" s="6"/>
      <c r="DH8" s="5">
        <f>DE8+1</f>
        <v>258</v>
      </c>
      <c r="DI8" s="6">
        <f ca="1">OFFSET(Gemini抽出データ!$A$1,DH8,0)</f>
        <v>0</v>
      </c>
      <c r="DJ8" s="32"/>
      <c r="DK8" s="9">
        <f>DH8+1</f>
        <v>259</v>
      </c>
      <c r="DL8" s="6">
        <f ca="1">OFFSET(Gemini抽出データ!$A$1,DK8,0)</f>
        <v>0</v>
      </c>
      <c r="DM8" s="6"/>
      <c r="DN8" s="5">
        <f>DK8+1</f>
        <v>260</v>
      </c>
      <c r="DO8" s="6">
        <f ca="1">OFFSET(Gemini抽出データ!$A$1,DN8,0)</f>
        <v>0</v>
      </c>
      <c r="DP8" s="32"/>
      <c r="DQ8" s="5">
        <f>DZ1+1</f>
        <v>285</v>
      </c>
      <c r="DR8" s="6">
        <f ca="1">OFFSET(Gemini抽出データ!$A$1,DQ8,0)</f>
        <v>0</v>
      </c>
      <c r="DS8" s="6"/>
      <c r="DT8" s="5">
        <f>DQ8+1</f>
        <v>286</v>
      </c>
      <c r="DU8" s="6">
        <f ca="1">OFFSET(Gemini抽出データ!$A$1,DT8,0)</f>
        <v>0</v>
      </c>
      <c r="DV8" s="32"/>
      <c r="DW8" s="9">
        <f>DT8+1</f>
        <v>287</v>
      </c>
      <c r="DX8" s="6">
        <f ca="1">OFFSET(Gemini抽出データ!$A$1,DW8,0)</f>
        <v>0</v>
      </c>
      <c r="DY8" s="6"/>
      <c r="DZ8" s="5">
        <f>DW8+1</f>
        <v>288</v>
      </c>
      <c r="EA8" s="6">
        <f ca="1">OFFSET(Gemini抽出データ!$A$1,DZ8,0)</f>
        <v>0</v>
      </c>
      <c r="EB8" s="32"/>
      <c r="EC8" s="5">
        <f>EL1+1</f>
        <v>313</v>
      </c>
      <c r="ED8" s="6">
        <f ca="1">OFFSET(Gemini抽出データ!$A$1,EC8,0)</f>
        <v>0</v>
      </c>
      <c r="EE8" s="6"/>
      <c r="EF8" s="5">
        <f>EC8+1</f>
        <v>314</v>
      </c>
      <c r="EG8" s="6">
        <f ca="1">OFFSET(Gemini抽出データ!$A$1,EF8,0)</f>
        <v>0</v>
      </c>
      <c r="EH8" s="32"/>
      <c r="EI8" s="9">
        <f>EF8+1</f>
        <v>315</v>
      </c>
      <c r="EJ8" s="6">
        <f ca="1">OFFSET(Gemini抽出データ!$A$1,EI8,0)</f>
        <v>0</v>
      </c>
      <c r="EK8" s="6"/>
      <c r="EL8" s="5">
        <f>EI8+1</f>
        <v>316</v>
      </c>
      <c r="EM8" s="6">
        <f ca="1">OFFSET(Gemini抽出データ!$A$1,EL8,0)</f>
        <v>0</v>
      </c>
      <c r="EN8" s="32"/>
      <c r="EO8" s="5">
        <f>EX1+1</f>
        <v>341</v>
      </c>
      <c r="EP8" s="6">
        <f ca="1">OFFSET(Gemini抽出データ!$A$1,EO8,0)</f>
        <v>0</v>
      </c>
      <c r="EQ8" s="6"/>
      <c r="ER8" s="5">
        <f>EO8+1</f>
        <v>342</v>
      </c>
      <c r="ES8" s="6">
        <f ca="1">OFFSET(Gemini抽出データ!$A$1,ER8,0)</f>
        <v>0</v>
      </c>
      <c r="ET8" s="32"/>
      <c r="EU8" s="9">
        <f>ER8+1</f>
        <v>343</v>
      </c>
      <c r="EV8" s="6">
        <f ca="1">OFFSET(Gemini抽出データ!$A$1,EU8,0)</f>
        <v>0</v>
      </c>
      <c r="EW8" s="6"/>
      <c r="EX8" s="5">
        <f>EU8+1</f>
        <v>344</v>
      </c>
      <c r="EY8" s="6">
        <f ca="1">OFFSET(Gemini抽出データ!$A$1,EX8,0)</f>
        <v>0</v>
      </c>
      <c r="EZ8" s="32"/>
      <c r="FA8" s="5">
        <f>FJ1+1</f>
        <v>369</v>
      </c>
      <c r="FB8" s="6">
        <f ca="1">OFFSET(Gemini抽出データ!$A$1,FA8,0)</f>
        <v>0</v>
      </c>
      <c r="FC8" s="6"/>
      <c r="FD8" s="5">
        <f>FA8+1</f>
        <v>370</v>
      </c>
      <c r="FE8" s="6">
        <f ca="1">OFFSET(Gemini抽出データ!$A$1,FD8,0)</f>
        <v>0</v>
      </c>
      <c r="FF8" s="32"/>
      <c r="FG8" s="9">
        <f>FD8+1</f>
        <v>371</v>
      </c>
      <c r="FH8" s="6">
        <f ca="1">OFFSET(Gemini抽出データ!$A$1,FG8,0)</f>
        <v>0</v>
      </c>
      <c r="FI8" s="6"/>
      <c r="FJ8" s="5">
        <f>FG8+1</f>
        <v>372</v>
      </c>
      <c r="FK8" s="6">
        <f ca="1">OFFSET(Gemini抽出データ!$A$1,FJ8,0)</f>
        <v>0</v>
      </c>
      <c r="FL8" s="32"/>
      <c r="FM8" s="5">
        <f>FV1+1</f>
        <v>397</v>
      </c>
      <c r="FN8" s="6">
        <f ca="1">OFFSET(Gemini抽出データ!$A$1,FM8,0)</f>
        <v>0</v>
      </c>
      <c r="FO8" s="6"/>
      <c r="FP8" s="5">
        <f>FM8+1</f>
        <v>398</v>
      </c>
      <c r="FQ8" s="6">
        <f ca="1">OFFSET(Gemini抽出データ!$A$1,FP8,0)</f>
        <v>0</v>
      </c>
      <c r="FR8" s="32"/>
      <c r="FS8" s="9">
        <f>FP8+1</f>
        <v>399</v>
      </c>
      <c r="FT8" s="6">
        <f ca="1">OFFSET(Gemini抽出データ!$A$1,FS8,0)</f>
        <v>0</v>
      </c>
      <c r="FU8" s="6"/>
      <c r="FV8" s="5">
        <f>FS8+1</f>
        <v>400</v>
      </c>
      <c r="FW8" s="6">
        <f ca="1">OFFSET(Gemini抽出データ!$A$1,FV8,0)</f>
        <v>0</v>
      </c>
      <c r="FX8" s="32"/>
      <c r="FY8" s="5">
        <f>GH1+1</f>
        <v>425</v>
      </c>
      <c r="FZ8" s="6">
        <f ca="1">OFFSET(Gemini抽出データ!$A$1,FY8,0)</f>
        <v>0</v>
      </c>
      <c r="GA8" s="6"/>
      <c r="GB8" s="5">
        <f>FY8+1</f>
        <v>426</v>
      </c>
      <c r="GC8" s="6">
        <f ca="1">OFFSET(Gemini抽出データ!$A$1,GB8,0)</f>
        <v>0</v>
      </c>
      <c r="GD8" s="32"/>
      <c r="GE8" s="9">
        <f>GB8+1</f>
        <v>427</v>
      </c>
      <c r="GF8" s="6">
        <f ca="1">OFFSET(Gemini抽出データ!$A$1,GE8,0)</f>
        <v>0</v>
      </c>
      <c r="GG8" s="6"/>
      <c r="GH8" s="5">
        <f>GE8+1</f>
        <v>428</v>
      </c>
      <c r="GI8" s="6">
        <f ca="1">OFFSET(Gemini抽出データ!$A$1,GH8,0)</f>
        <v>0</v>
      </c>
      <c r="GJ8" s="32"/>
      <c r="GK8" s="5">
        <f>GT1+1</f>
        <v>453</v>
      </c>
      <c r="GL8" s="6">
        <f ca="1">OFFSET(Gemini抽出データ!$A$1,GK8,0)</f>
        <v>0</v>
      </c>
      <c r="GM8" s="6"/>
      <c r="GN8" s="5">
        <f>GK8+1</f>
        <v>454</v>
      </c>
      <c r="GO8" s="6">
        <f ca="1">OFFSET(Gemini抽出データ!$A$1,GN8,0)</f>
        <v>0</v>
      </c>
      <c r="GP8" s="32"/>
      <c r="GQ8" s="9">
        <f>GN8+1</f>
        <v>455</v>
      </c>
      <c r="GR8" s="6">
        <f ca="1">OFFSET(Gemini抽出データ!$A$1,GQ8,0)</f>
        <v>0</v>
      </c>
      <c r="GS8" s="6"/>
      <c r="GT8" s="5">
        <f>GQ8+1</f>
        <v>456</v>
      </c>
      <c r="GU8" s="6">
        <f ca="1">OFFSET(Gemini抽出データ!$A$1,GT8,0)</f>
        <v>0</v>
      </c>
      <c r="GV8" s="32"/>
      <c r="GW8" s="5">
        <f>HF1+1</f>
        <v>481</v>
      </c>
      <c r="GX8" s="6">
        <f ca="1">OFFSET(Gemini抽出データ!$A$1,GW8,0)</f>
        <v>0</v>
      </c>
      <c r="GY8" s="6"/>
      <c r="GZ8" s="5">
        <f>GW8+1</f>
        <v>482</v>
      </c>
      <c r="HA8" s="6">
        <f ca="1">OFFSET(Gemini抽出データ!$A$1,GZ8,0)</f>
        <v>0</v>
      </c>
      <c r="HB8" s="32"/>
      <c r="HC8" s="9">
        <f>GZ8+1</f>
        <v>483</v>
      </c>
      <c r="HD8" s="6">
        <f ca="1">OFFSET(Gemini抽出データ!$A$1,HC8,0)</f>
        <v>0</v>
      </c>
      <c r="HE8" s="6"/>
      <c r="HF8" s="5">
        <f>HC8+1</f>
        <v>484</v>
      </c>
      <c r="HG8" s="6">
        <f ca="1">OFFSET(Gemini抽出データ!$A$1,HF8,0)</f>
        <v>0</v>
      </c>
      <c r="HH8" s="32"/>
      <c r="HI8" s="5">
        <f>HR1+1</f>
        <v>509</v>
      </c>
      <c r="HJ8" s="6">
        <f ca="1">OFFSET(Gemini抽出データ!$A$1,HI8,0)</f>
        <v>0</v>
      </c>
      <c r="HK8" s="6"/>
      <c r="HL8" s="5">
        <f>HI8+1</f>
        <v>510</v>
      </c>
      <c r="HM8" s="6">
        <f ca="1">OFFSET(Gemini抽出データ!$A$1,HL8,0)</f>
        <v>0</v>
      </c>
      <c r="HN8" s="32"/>
      <c r="HO8" s="9">
        <f>HL8+1</f>
        <v>511</v>
      </c>
      <c r="HP8" s="6">
        <f ca="1">OFFSET(Gemini抽出データ!$A$1,HO8,0)</f>
        <v>0</v>
      </c>
      <c r="HQ8" s="6"/>
      <c r="HR8" s="5">
        <f>HO8+1</f>
        <v>512</v>
      </c>
      <c r="HS8" s="6">
        <f ca="1">OFFSET(Gemini抽出データ!$A$1,HR8,0)</f>
        <v>0</v>
      </c>
      <c r="HT8" s="32"/>
      <c r="HU8" s="4" t="e">
        <f ca="1">OFFSET(Gemini抽出データ!$A$1,#REF!,0)</f>
        <v>#REF!</v>
      </c>
      <c r="HV8" s="3"/>
    </row>
    <row r="9" spans="1:230" ht="17.100000000000001" customHeight="1" x14ac:dyDescent="0.45">
      <c r="A9" s="10" t="str">
        <f>"クライアント名"&amp;A$1</f>
        <v>クライアント名1</v>
      </c>
      <c r="B9" s="11">
        <f ca="1">OFFSET(Gemini抽出データ!$A$1,A8,2)</f>
        <v>0</v>
      </c>
      <c r="C9" s="11"/>
      <c r="D9" s="10" t="str">
        <f>"クライアント名"&amp;D$1</f>
        <v>クライアント名2</v>
      </c>
      <c r="E9" s="11">
        <f ca="1">OFFSET(Gemini抽出データ!$A$1,D8,2)</f>
        <v>0</v>
      </c>
      <c r="F9" s="12"/>
      <c r="G9" s="13" t="str">
        <f>"クライアント名"&amp;G$1</f>
        <v>クライアント名3</v>
      </c>
      <c r="H9" s="11">
        <f ca="1">OFFSET(Gemini抽出データ!$A$1,G8,2)</f>
        <v>0</v>
      </c>
      <c r="I9" s="11"/>
      <c r="J9" s="10" t="str">
        <f>"クライアント名"&amp;J$1</f>
        <v>クライアント名4</v>
      </c>
      <c r="K9" s="11">
        <f ca="1">OFFSET(Gemini抽出データ!$A$1,J8,2)</f>
        <v>0</v>
      </c>
      <c r="L9" s="12"/>
      <c r="M9" s="10" t="str">
        <f>"クライアント名"&amp;M$1</f>
        <v>クライアント名29</v>
      </c>
      <c r="N9" s="11">
        <f ca="1">OFFSET(Gemini抽出データ!$A$1,M8,2)</f>
        <v>0</v>
      </c>
      <c r="O9" s="11"/>
      <c r="P9" s="10" t="str">
        <f>"クライアント名"&amp;P$1</f>
        <v>クライアント名30</v>
      </c>
      <c r="Q9" s="11">
        <f ca="1">OFFSET(Gemini抽出データ!$A$1,P8,2)</f>
        <v>0</v>
      </c>
      <c r="R9" s="12"/>
      <c r="S9" s="13" t="str">
        <f>"クライアント名"&amp;S$1</f>
        <v>クライアント名31</v>
      </c>
      <c r="T9" s="11">
        <f ca="1">OFFSET(Gemini抽出データ!$A$1,S8,2)</f>
        <v>0</v>
      </c>
      <c r="U9" s="11"/>
      <c r="V9" s="10" t="str">
        <f>"クライアント名"&amp;V$1</f>
        <v>クライアント名32</v>
      </c>
      <c r="W9" s="11">
        <f ca="1">OFFSET(Gemini抽出データ!$A$1,V8,2)</f>
        <v>0</v>
      </c>
      <c r="X9" s="12"/>
      <c r="Y9" s="10" t="str">
        <f>"クライアント名"&amp;Y$1</f>
        <v>クライアント名57</v>
      </c>
      <c r="Z9" s="11">
        <f ca="1">OFFSET(Gemini抽出データ!$A$1,Y8,2)</f>
        <v>0</v>
      </c>
      <c r="AA9" s="11"/>
      <c r="AB9" s="10" t="str">
        <f>"クライアント名"&amp;AB$1</f>
        <v>クライアント名58</v>
      </c>
      <c r="AC9" s="11">
        <f ca="1">OFFSET(Gemini抽出データ!$A$1,AB8,2)</f>
        <v>0</v>
      </c>
      <c r="AD9" s="12"/>
      <c r="AE9" s="13" t="str">
        <f>"クライアント名"&amp;AE$1</f>
        <v>クライアント名59</v>
      </c>
      <c r="AF9" s="11">
        <f ca="1">OFFSET(Gemini抽出データ!$A$1,AE8,2)</f>
        <v>0</v>
      </c>
      <c r="AG9" s="11"/>
      <c r="AH9" s="10" t="str">
        <f>"クライアント名"&amp;AH$1</f>
        <v>クライアント名60</v>
      </c>
      <c r="AI9" s="11">
        <f ca="1">OFFSET(Gemini抽出データ!$A$1,AH8,2)</f>
        <v>0</v>
      </c>
      <c r="AJ9" s="12"/>
      <c r="AK9" s="10" t="str">
        <f>"クライアント名"&amp;AK$1</f>
        <v>クライアント名85</v>
      </c>
      <c r="AL9" s="11">
        <f ca="1">OFFSET(Gemini抽出データ!$A$1,AK8,2)</f>
        <v>0</v>
      </c>
      <c r="AM9" s="11"/>
      <c r="AN9" s="10" t="str">
        <f>"クライアント名"&amp;AN$1</f>
        <v>クライアント名86</v>
      </c>
      <c r="AO9" s="11">
        <f ca="1">OFFSET(Gemini抽出データ!$A$1,AN8,2)</f>
        <v>0</v>
      </c>
      <c r="AP9" s="12"/>
      <c r="AQ9" s="13" t="str">
        <f>"クライアント名"&amp;AQ$1</f>
        <v>クライアント名87</v>
      </c>
      <c r="AR9" s="11">
        <f ca="1">OFFSET(Gemini抽出データ!$A$1,AQ8,2)</f>
        <v>0</v>
      </c>
      <c r="AS9" s="11"/>
      <c r="AT9" s="10" t="str">
        <f>"クライアント名"&amp;AT$1</f>
        <v>クライアント名88</v>
      </c>
      <c r="AU9" s="11">
        <f ca="1">OFFSET(Gemini抽出データ!$A$1,AT8,2)</f>
        <v>0</v>
      </c>
      <c r="AV9" s="12"/>
      <c r="AW9" s="10" t="str">
        <f>"クライアント名"&amp;AW$1</f>
        <v>クライアント名113</v>
      </c>
      <c r="AX9" s="11">
        <f ca="1">OFFSET(Gemini抽出データ!$A$1,AW8,2)</f>
        <v>0</v>
      </c>
      <c r="AY9" s="11"/>
      <c r="AZ9" s="10" t="str">
        <f>"クライアント名"&amp;AZ$1</f>
        <v>クライアント名114</v>
      </c>
      <c r="BA9" s="11">
        <f ca="1">OFFSET(Gemini抽出データ!$A$1,AZ8,2)</f>
        <v>0</v>
      </c>
      <c r="BB9" s="12"/>
      <c r="BC9" s="13" t="str">
        <f>"クライアント名"&amp;BC$1</f>
        <v>クライアント名115</v>
      </c>
      <c r="BD9" s="11">
        <f ca="1">OFFSET(Gemini抽出データ!$A$1,BC8,2)</f>
        <v>0</v>
      </c>
      <c r="BE9" s="11"/>
      <c r="BF9" s="10" t="str">
        <f>"クライアント名"&amp;BF$1</f>
        <v>クライアント名116</v>
      </c>
      <c r="BG9" s="11">
        <f ca="1">OFFSET(Gemini抽出データ!$A$1,BF8,2)</f>
        <v>0</v>
      </c>
      <c r="BH9" s="12"/>
      <c r="BI9" s="10" t="str">
        <f>"クライアント名"&amp;BI$1</f>
        <v>クライアント名141</v>
      </c>
      <c r="BJ9" s="11">
        <f ca="1">OFFSET(Gemini抽出データ!$A$1,BI8,2)</f>
        <v>0</v>
      </c>
      <c r="BK9" s="11"/>
      <c r="BL9" s="10" t="str">
        <f>"クライアント名"&amp;BL$1</f>
        <v>クライアント名142</v>
      </c>
      <c r="BM9" s="11">
        <f ca="1">OFFSET(Gemini抽出データ!$A$1,BL8,2)</f>
        <v>0</v>
      </c>
      <c r="BN9" s="12"/>
      <c r="BO9" s="13" t="str">
        <f>"クライアント名"&amp;BO$1</f>
        <v>クライアント名143</v>
      </c>
      <c r="BP9" s="11">
        <f ca="1">OFFSET(Gemini抽出データ!$A$1,BO8,2)</f>
        <v>0</v>
      </c>
      <c r="BQ9" s="11"/>
      <c r="BR9" s="10" t="str">
        <f>"クライアント名"&amp;BR$1</f>
        <v>クライアント名144</v>
      </c>
      <c r="BS9" s="11">
        <f ca="1">OFFSET(Gemini抽出データ!$A$1,BR8,2)</f>
        <v>0</v>
      </c>
      <c r="BT9" s="12"/>
      <c r="BU9" s="10" t="str">
        <f>"クライアント名"&amp;BU$1</f>
        <v>クライアント名169</v>
      </c>
      <c r="BV9" s="11">
        <f ca="1">OFFSET(Gemini抽出データ!$A$1,BU8,2)</f>
        <v>0</v>
      </c>
      <c r="BW9" s="11"/>
      <c r="BX9" s="10" t="str">
        <f>"クライアント名"&amp;BX$1</f>
        <v>クライアント名170</v>
      </c>
      <c r="BY9" s="11">
        <f ca="1">OFFSET(Gemini抽出データ!$A$1,BX8,2)</f>
        <v>0</v>
      </c>
      <c r="BZ9" s="12"/>
      <c r="CA9" s="13" t="str">
        <f>"クライアント名"&amp;CA$1</f>
        <v>クライアント名171</v>
      </c>
      <c r="CB9" s="11">
        <f ca="1">OFFSET(Gemini抽出データ!$A$1,CA8,2)</f>
        <v>0</v>
      </c>
      <c r="CC9" s="11"/>
      <c r="CD9" s="10" t="str">
        <f>"クライアント名"&amp;CD$1</f>
        <v>クライアント名172</v>
      </c>
      <c r="CE9" s="11">
        <f ca="1">OFFSET(Gemini抽出データ!$A$1,CD8,2)</f>
        <v>0</v>
      </c>
      <c r="CF9" s="12"/>
      <c r="CG9" s="10" t="str">
        <f>"クライアント名"&amp;CG$1</f>
        <v>クライアント名197</v>
      </c>
      <c r="CH9" s="11">
        <f ca="1">OFFSET(Gemini抽出データ!$A$1,CG8,2)</f>
        <v>0</v>
      </c>
      <c r="CI9" s="11"/>
      <c r="CJ9" s="10" t="str">
        <f>"クライアント名"&amp;CJ$1</f>
        <v>クライアント名198</v>
      </c>
      <c r="CK9" s="11">
        <f ca="1">OFFSET(Gemini抽出データ!$A$1,CJ8,2)</f>
        <v>0</v>
      </c>
      <c r="CL9" s="12"/>
      <c r="CM9" s="13" t="str">
        <f>"クライアント名"&amp;CM$1</f>
        <v>クライアント名199</v>
      </c>
      <c r="CN9" s="11">
        <f ca="1">OFFSET(Gemini抽出データ!$A$1,CM8,2)</f>
        <v>0</v>
      </c>
      <c r="CO9" s="11"/>
      <c r="CP9" s="10" t="str">
        <f>"クライアント名"&amp;CP$1</f>
        <v>クライアント名200</v>
      </c>
      <c r="CQ9" s="11">
        <f ca="1">OFFSET(Gemini抽出データ!$A$1,CP8,2)</f>
        <v>0</v>
      </c>
      <c r="CR9" s="12"/>
      <c r="CS9" s="10" t="str">
        <f>"クライアント名"&amp;CS$1</f>
        <v>クライアント名225</v>
      </c>
      <c r="CT9" s="11">
        <f ca="1">OFFSET(Gemini抽出データ!$A$1,CS8,2)</f>
        <v>0</v>
      </c>
      <c r="CU9" s="11"/>
      <c r="CV9" s="10" t="str">
        <f>"クライアント名"&amp;CV$1</f>
        <v>クライアント名226</v>
      </c>
      <c r="CW9" s="11">
        <f ca="1">OFFSET(Gemini抽出データ!$A$1,CV8,2)</f>
        <v>0</v>
      </c>
      <c r="CX9" s="12"/>
      <c r="CY9" s="13" t="str">
        <f>"クライアント名"&amp;CY$1</f>
        <v>クライアント名227</v>
      </c>
      <c r="CZ9" s="11">
        <f ca="1">OFFSET(Gemini抽出データ!$A$1,CY8,2)</f>
        <v>0</v>
      </c>
      <c r="DA9" s="11"/>
      <c r="DB9" s="10" t="str">
        <f>"クライアント名"&amp;DB$1</f>
        <v>クライアント名228</v>
      </c>
      <c r="DC9" s="11">
        <f ca="1">OFFSET(Gemini抽出データ!$A$1,DB8,2)</f>
        <v>0</v>
      </c>
      <c r="DD9" s="12"/>
      <c r="DE9" s="10" t="str">
        <f>"クライアント名"&amp;DE$1</f>
        <v>クライアント名253</v>
      </c>
      <c r="DF9" s="11">
        <f ca="1">OFFSET(Gemini抽出データ!$A$1,DE8,2)</f>
        <v>0</v>
      </c>
      <c r="DG9" s="11"/>
      <c r="DH9" s="10" t="str">
        <f>"クライアント名"&amp;DH$1</f>
        <v>クライアント名254</v>
      </c>
      <c r="DI9" s="11">
        <f ca="1">OFFSET(Gemini抽出データ!$A$1,DH8,2)</f>
        <v>0</v>
      </c>
      <c r="DJ9" s="12"/>
      <c r="DK9" s="13" t="str">
        <f>"クライアント名"&amp;DK$1</f>
        <v>クライアント名255</v>
      </c>
      <c r="DL9" s="11">
        <f ca="1">OFFSET(Gemini抽出データ!$A$1,DK8,2)</f>
        <v>0</v>
      </c>
      <c r="DM9" s="11"/>
      <c r="DN9" s="10" t="str">
        <f>"クライアント名"&amp;DN$1</f>
        <v>クライアント名256</v>
      </c>
      <c r="DO9" s="11">
        <f ca="1">OFFSET(Gemini抽出データ!$A$1,DN8,2)</f>
        <v>0</v>
      </c>
      <c r="DP9" s="12"/>
      <c r="DQ9" s="10" t="str">
        <f>"クライアント名"&amp;DQ$1</f>
        <v>クライアント名281</v>
      </c>
      <c r="DR9" s="11">
        <f ca="1">OFFSET(Gemini抽出データ!$A$1,DQ8,2)</f>
        <v>0</v>
      </c>
      <c r="DS9" s="11"/>
      <c r="DT9" s="10" t="str">
        <f>"クライアント名"&amp;DT$1</f>
        <v>クライアント名282</v>
      </c>
      <c r="DU9" s="11">
        <f ca="1">OFFSET(Gemini抽出データ!$A$1,DT8,2)</f>
        <v>0</v>
      </c>
      <c r="DV9" s="12"/>
      <c r="DW9" s="13" t="str">
        <f>"クライアント名"&amp;DW$1</f>
        <v>クライアント名283</v>
      </c>
      <c r="DX9" s="11">
        <f ca="1">OFFSET(Gemini抽出データ!$A$1,DW8,2)</f>
        <v>0</v>
      </c>
      <c r="DY9" s="11"/>
      <c r="DZ9" s="10" t="str">
        <f>"クライアント名"&amp;DZ$1</f>
        <v>クライアント名284</v>
      </c>
      <c r="EA9" s="11">
        <f ca="1">OFFSET(Gemini抽出データ!$A$1,DZ8,2)</f>
        <v>0</v>
      </c>
      <c r="EB9" s="12"/>
      <c r="EC9" s="10" t="str">
        <f>"クライアント名"&amp;EC$1</f>
        <v>クライアント名309</v>
      </c>
      <c r="ED9" s="11">
        <f ca="1">OFFSET(Gemini抽出データ!$A$1,EC8,2)</f>
        <v>0</v>
      </c>
      <c r="EE9" s="11"/>
      <c r="EF9" s="10" t="str">
        <f>"クライアント名"&amp;EF$1</f>
        <v>クライアント名310</v>
      </c>
      <c r="EG9" s="11">
        <f ca="1">OFFSET(Gemini抽出データ!$A$1,EF8,2)</f>
        <v>0</v>
      </c>
      <c r="EH9" s="12"/>
      <c r="EI9" s="13" t="str">
        <f>"クライアント名"&amp;EI$1</f>
        <v>クライアント名311</v>
      </c>
      <c r="EJ9" s="11">
        <f ca="1">OFFSET(Gemini抽出データ!$A$1,EI8,2)</f>
        <v>0</v>
      </c>
      <c r="EK9" s="11"/>
      <c r="EL9" s="10" t="str">
        <f>"クライアント名"&amp;EL$1</f>
        <v>クライアント名312</v>
      </c>
      <c r="EM9" s="11">
        <f ca="1">OFFSET(Gemini抽出データ!$A$1,EL8,2)</f>
        <v>0</v>
      </c>
      <c r="EN9" s="12"/>
      <c r="EO9" s="10" t="str">
        <f>"クライアント名"&amp;EO$1</f>
        <v>クライアント名337</v>
      </c>
      <c r="EP9" s="11">
        <f ca="1">OFFSET(Gemini抽出データ!$A$1,EO8,2)</f>
        <v>0</v>
      </c>
      <c r="EQ9" s="11"/>
      <c r="ER9" s="10" t="str">
        <f>"クライアント名"&amp;ER$1</f>
        <v>クライアント名338</v>
      </c>
      <c r="ES9" s="11">
        <f ca="1">OFFSET(Gemini抽出データ!$A$1,ER8,2)</f>
        <v>0</v>
      </c>
      <c r="ET9" s="12"/>
      <c r="EU9" s="13" t="str">
        <f>"クライアント名"&amp;EU$1</f>
        <v>クライアント名339</v>
      </c>
      <c r="EV9" s="11">
        <f ca="1">OFFSET(Gemini抽出データ!$A$1,EU8,2)</f>
        <v>0</v>
      </c>
      <c r="EW9" s="11"/>
      <c r="EX9" s="10" t="str">
        <f>"クライアント名"&amp;EX$1</f>
        <v>クライアント名340</v>
      </c>
      <c r="EY9" s="11">
        <f ca="1">OFFSET(Gemini抽出データ!$A$1,EX8,2)</f>
        <v>0</v>
      </c>
      <c r="EZ9" s="12"/>
      <c r="FA9" s="10" t="str">
        <f>"クライアント名"&amp;FA$1</f>
        <v>クライアント名365</v>
      </c>
      <c r="FB9" s="11">
        <f ca="1">OFFSET(Gemini抽出データ!$A$1,FA8,2)</f>
        <v>0</v>
      </c>
      <c r="FC9" s="11"/>
      <c r="FD9" s="10" t="str">
        <f>"クライアント名"&amp;FD$1</f>
        <v>クライアント名366</v>
      </c>
      <c r="FE9" s="11">
        <f ca="1">OFFSET(Gemini抽出データ!$A$1,FD8,2)</f>
        <v>0</v>
      </c>
      <c r="FF9" s="12"/>
      <c r="FG9" s="13" t="str">
        <f>"クライアント名"&amp;FG$1</f>
        <v>クライアント名367</v>
      </c>
      <c r="FH9" s="11">
        <f ca="1">OFFSET(Gemini抽出データ!$A$1,FG8,2)</f>
        <v>0</v>
      </c>
      <c r="FI9" s="11"/>
      <c r="FJ9" s="10" t="str">
        <f>"クライアント名"&amp;FJ$1</f>
        <v>クライアント名368</v>
      </c>
      <c r="FK9" s="11">
        <f ca="1">OFFSET(Gemini抽出データ!$A$1,FJ8,2)</f>
        <v>0</v>
      </c>
      <c r="FL9" s="12"/>
      <c r="FM9" s="10" t="str">
        <f>"クライアント名"&amp;FM$1</f>
        <v>クライアント名393</v>
      </c>
      <c r="FN9" s="11">
        <f ca="1">OFFSET(Gemini抽出データ!$A$1,FM8,2)</f>
        <v>0</v>
      </c>
      <c r="FO9" s="11"/>
      <c r="FP9" s="10" t="str">
        <f>"クライアント名"&amp;FP$1</f>
        <v>クライアント名394</v>
      </c>
      <c r="FQ9" s="11">
        <f ca="1">OFFSET(Gemini抽出データ!$A$1,FP8,2)</f>
        <v>0</v>
      </c>
      <c r="FR9" s="12"/>
      <c r="FS9" s="13" t="str">
        <f>"クライアント名"&amp;FS$1</f>
        <v>クライアント名395</v>
      </c>
      <c r="FT9" s="11">
        <f ca="1">OFFSET(Gemini抽出データ!$A$1,FS8,2)</f>
        <v>0</v>
      </c>
      <c r="FU9" s="11"/>
      <c r="FV9" s="10" t="str">
        <f>"クライアント名"&amp;FV$1</f>
        <v>クライアント名396</v>
      </c>
      <c r="FW9" s="11">
        <f ca="1">OFFSET(Gemini抽出データ!$A$1,FV8,2)</f>
        <v>0</v>
      </c>
      <c r="FX9" s="12"/>
      <c r="FY9" s="10" t="str">
        <f>"クライアント名"&amp;FY$1</f>
        <v>クライアント名421</v>
      </c>
      <c r="FZ9" s="11">
        <f ca="1">OFFSET(Gemini抽出データ!$A$1,FY8,2)</f>
        <v>0</v>
      </c>
      <c r="GA9" s="11"/>
      <c r="GB9" s="10" t="str">
        <f>"クライアント名"&amp;GB$1</f>
        <v>クライアント名422</v>
      </c>
      <c r="GC9" s="11">
        <f ca="1">OFFSET(Gemini抽出データ!$A$1,GB8,2)</f>
        <v>0</v>
      </c>
      <c r="GD9" s="12"/>
      <c r="GE9" s="13" t="str">
        <f>"クライアント名"&amp;GE$1</f>
        <v>クライアント名423</v>
      </c>
      <c r="GF9" s="11">
        <f ca="1">OFFSET(Gemini抽出データ!$A$1,GE8,2)</f>
        <v>0</v>
      </c>
      <c r="GG9" s="11"/>
      <c r="GH9" s="10" t="str">
        <f>"クライアント名"&amp;GH$1</f>
        <v>クライアント名424</v>
      </c>
      <c r="GI9" s="11">
        <f ca="1">OFFSET(Gemini抽出データ!$A$1,GH8,2)</f>
        <v>0</v>
      </c>
      <c r="GJ9" s="12"/>
      <c r="GK9" s="10" t="str">
        <f>"クライアント名"&amp;GK$1</f>
        <v>クライアント名449</v>
      </c>
      <c r="GL9" s="11">
        <f ca="1">OFFSET(Gemini抽出データ!$A$1,GK8,2)</f>
        <v>0</v>
      </c>
      <c r="GM9" s="11"/>
      <c r="GN9" s="10" t="str">
        <f>"クライアント名"&amp;GN$1</f>
        <v>クライアント名450</v>
      </c>
      <c r="GO9" s="11">
        <f ca="1">OFFSET(Gemini抽出データ!$A$1,GN8,2)</f>
        <v>0</v>
      </c>
      <c r="GP9" s="12"/>
      <c r="GQ9" s="13" t="str">
        <f>"クライアント名"&amp;GQ$1</f>
        <v>クライアント名451</v>
      </c>
      <c r="GR9" s="11">
        <f ca="1">OFFSET(Gemini抽出データ!$A$1,GQ8,2)</f>
        <v>0</v>
      </c>
      <c r="GS9" s="11"/>
      <c r="GT9" s="10" t="str">
        <f>"クライアント名"&amp;GT$1</f>
        <v>クライアント名452</v>
      </c>
      <c r="GU9" s="11">
        <f ca="1">OFFSET(Gemini抽出データ!$A$1,GT8,2)</f>
        <v>0</v>
      </c>
      <c r="GV9" s="12"/>
      <c r="GW9" s="10" t="str">
        <f>"クライアント名"&amp;GW$1</f>
        <v>クライアント名477</v>
      </c>
      <c r="GX9" s="11">
        <f ca="1">OFFSET(Gemini抽出データ!$A$1,GW8,2)</f>
        <v>0</v>
      </c>
      <c r="GY9" s="11"/>
      <c r="GZ9" s="10" t="str">
        <f>"クライアント名"&amp;GZ$1</f>
        <v>クライアント名478</v>
      </c>
      <c r="HA9" s="11">
        <f ca="1">OFFSET(Gemini抽出データ!$A$1,GZ8,2)</f>
        <v>0</v>
      </c>
      <c r="HB9" s="12"/>
      <c r="HC9" s="13" t="str">
        <f>"クライアント名"&amp;HC$1</f>
        <v>クライアント名479</v>
      </c>
      <c r="HD9" s="11">
        <f ca="1">OFFSET(Gemini抽出データ!$A$1,HC8,2)</f>
        <v>0</v>
      </c>
      <c r="HE9" s="11"/>
      <c r="HF9" s="10" t="str">
        <f>"クライアント名"&amp;HF$1</f>
        <v>クライアント名480</v>
      </c>
      <c r="HG9" s="11">
        <f ca="1">OFFSET(Gemini抽出データ!$A$1,HF8,2)</f>
        <v>0</v>
      </c>
      <c r="HH9" s="12"/>
      <c r="HI9" s="10" t="str">
        <f>"クライアント名"&amp;HI$1</f>
        <v>クライアント名505</v>
      </c>
      <c r="HJ9" s="11">
        <f ca="1">OFFSET(Gemini抽出データ!$A$1,HI8,2)</f>
        <v>0</v>
      </c>
      <c r="HK9" s="11"/>
      <c r="HL9" s="10" t="str">
        <f>"クライアント名"&amp;HL$1</f>
        <v>クライアント名506</v>
      </c>
      <c r="HM9" s="11">
        <f ca="1">OFFSET(Gemini抽出データ!$A$1,HL8,2)</f>
        <v>0</v>
      </c>
      <c r="HN9" s="12"/>
      <c r="HO9" s="13" t="str">
        <f>"クライアント名"&amp;HO$1</f>
        <v>クライアント名507</v>
      </c>
      <c r="HP9" s="11">
        <f ca="1">OFFSET(Gemini抽出データ!$A$1,HO8,2)</f>
        <v>0</v>
      </c>
      <c r="HQ9" s="11"/>
      <c r="HR9" s="10" t="str">
        <f>"クライアント名"&amp;HR$1</f>
        <v>クライアント名508</v>
      </c>
      <c r="HS9" s="11">
        <f ca="1">OFFSET(Gemini抽出データ!$A$1,HR8,2)</f>
        <v>0</v>
      </c>
      <c r="HT9" s="12"/>
      <c r="HU9" t="e">
        <f ca="1">OFFSET(Gemini抽出データ!$A$1,#REF!,2)</f>
        <v>#REF!</v>
      </c>
    </row>
    <row r="10" spans="1:230" ht="17.100000000000001" customHeight="1" x14ac:dyDescent="0.45">
      <c r="A10" s="10" t="str">
        <f>"種類"&amp;A$1</f>
        <v>種類1</v>
      </c>
      <c r="B10" s="25" t="str">
        <f ca="1">IF(OFFSET(Gemini抽出データ!$A$1,A8,1)=0,"",OFFSET(Gemini抽出データ!$A$1,A8,1))</f>
        <v/>
      </c>
      <c r="C10" s="26"/>
      <c r="D10" s="30" t="str">
        <f>"学年"&amp;D$1</f>
        <v>学年2</v>
      </c>
      <c r="E10" s="25" t="str">
        <f ca="1">IF(OFFSET(Gemini抽出データ!$A$1,D8,1)=0,"",OFFSET(Gemini抽出データ!$A$1,D8,1))</f>
        <v/>
      </c>
      <c r="F10" s="27"/>
      <c r="G10" s="31" t="str">
        <f>"学年"&amp;G$1</f>
        <v>学年3</v>
      </c>
      <c r="H10" s="25" t="str">
        <f ca="1">IF(OFFSET(Gemini抽出データ!$A$1,G8,1)=0,"",OFFSET(Gemini抽出データ!$A$1,G8,1))</f>
        <v/>
      </c>
      <c r="I10" s="26"/>
      <c r="J10" s="30" t="str">
        <f>"学年"&amp;J$1</f>
        <v>学年4</v>
      </c>
      <c r="K10" s="25" t="str">
        <f ca="1">IF(OFFSET(Gemini抽出データ!$A$1,J8,1)=0,"",OFFSET(Gemini抽出データ!$A$1,J8,1))</f>
        <v/>
      </c>
      <c r="L10" s="27"/>
      <c r="M10" s="10" t="str">
        <f>"種類"&amp;M$1</f>
        <v>種類29</v>
      </c>
      <c r="N10" s="25" t="str">
        <f ca="1">IF(OFFSET(Gemini抽出データ!$A$1,M8,1)=0,"",OFFSET(Gemini抽出データ!$A$1,M8,1))</f>
        <v/>
      </c>
      <c r="O10" s="26"/>
      <c r="P10" s="30" t="str">
        <f>"学年"&amp;P$1</f>
        <v>学年30</v>
      </c>
      <c r="Q10" s="25" t="str">
        <f ca="1">IF(OFFSET(Gemini抽出データ!$A$1,P8,1)=0,"",OFFSET(Gemini抽出データ!$A$1,P8,1))</f>
        <v/>
      </c>
      <c r="R10" s="27"/>
      <c r="S10" s="31" t="str">
        <f>"学年"&amp;S$1</f>
        <v>学年31</v>
      </c>
      <c r="T10" s="25" t="str">
        <f ca="1">IF(OFFSET(Gemini抽出データ!$A$1,S8,1)=0,"",OFFSET(Gemini抽出データ!$A$1,S8,1))</f>
        <v/>
      </c>
      <c r="U10" s="26"/>
      <c r="V10" s="30" t="str">
        <f>"学年"&amp;V$1</f>
        <v>学年32</v>
      </c>
      <c r="W10" s="25" t="str">
        <f ca="1">IF(OFFSET(Gemini抽出データ!$A$1,V8,1)=0,"",OFFSET(Gemini抽出データ!$A$1,V8,1))</f>
        <v/>
      </c>
      <c r="X10" s="27"/>
      <c r="Y10" s="10" t="str">
        <f>"種類"&amp;Y$1</f>
        <v>種類57</v>
      </c>
      <c r="Z10" s="25" t="str">
        <f ca="1">IF(OFFSET(Gemini抽出データ!$A$1,Y8,1)=0,"",OFFSET(Gemini抽出データ!$A$1,Y8,1))</f>
        <v/>
      </c>
      <c r="AA10" s="26"/>
      <c r="AB10" s="30" t="str">
        <f>"学年"&amp;AB$1</f>
        <v>学年58</v>
      </c>
      <c r="AC10" s="25" t="str">
        <f ca="1">IF(OFFSET(Gemini抽出データ!$A$1,AB8,1)=0,"",OFFSET(Gemini抽出データ!$A$1,AB8,1))</f>
        <v/>
      </c>
      <c r="AD10" s="27"/>
      <c r="AE10" s="31" t="str">
        <f>"学年"&amp;AE$1</f>
        <v>学年59</v>
      </c>
      <c r="AF10" s="25" t="str">
        <f ca="1">IF(OFFSET(Gemini抽出データ!$A$1,AE8,1)=0,"",OFFSET(Gemini抽出データ!$A$1,AE8,1))</f>
        <v/>
      </c>
      <c r="AG10" s="26"/>
      <c r="AH10" s="30" t="str">
        <f>"学年"&amp;AH$1</f>
        <v>学年60</v>
      </c>
      <c r="AI10" s="25" t="str">
        <f ca="1">IF(OFFSET(Gemini抽出データ!$A$1,AH8,1)=0,"",OFFSET(Gemini抽出データ!$A$1,AH8,1))</f>
        <v/>
      </c>
      <c r="AJ10" s="27"/>
      <c r="AK10" s="10" t="str">
        <f>"種類"&amp;AK$1</f>
        <v>種類85</v>
      </c>
      <c r="AL10" s="25" t="str">
        <f ca="1">IF(OFFSET(Gemini抽出データ!$A$1,AK8,1)=0,"",OFFSET(Gemini抽出データ!$A$1,AK8,1))</f>
        <v/>
      </c>
      <c r="AM10" s="26"/>
      <c r="AN10" s="30" t="str">
        <f>"学年"&amp;AN$1</f>
        <v>学年86</v>
      </c>
      <c r="AO10" s="25" t="str">
        <f ca="1">IF(OFFSET(Gemini抽出データ!$A$1,AN8,1)=0,"",OFFSET(Gemini抽出データ!$A$1,AN8,1))</f>
        <v/>
      </c>
      <c r="AP10" s="27"/>
      <c r="AQ10" s="31" t="str">
        <f>"学年"&amp;AQ$1</f>
        <v>学年87</v>
      </c>
      <c r="AR10" s="25" t="str">
        <f ca="1">IF(OFFSET(Gemini抽出データ!$A$1,AQ8,1)=0,"",OFFSET(Gemini抽出データ!$A$1,AQ8,1))</f>
        <v/>
      </c>
      <c r="AS10" s="26"/>
      <c r="AT10" s="30" t="str">
        <f>"学年"&amp;AT$1</f>
        <v>学年88</v>
      </c>
      <c r="AU10" s="25" t="str">
        <f ca="1">IF(OFFSET(Gemini抽出データ!$A$1,AT8,1)=0,"",OFFSET(Gemini抽出データ!$A$1,AT8,1))</f>
        <v/>
      </c>
      <c r="AV10" s="27"/>
      <c r="AW10" s="10" t="str">
        <f>"種類"&amp;AW$1</f>
        <v>種類113</v>
      </c>
      <c r="AX10" s="25" t="str">
        <f ca="1">IF(OFFSET(Gemini抽出データ!$A$1,AW8,1)=0,"",OFFSET(Gemini抽出データ!$A$1,AW8,1))</f>
        <v/>
      </c>
      <c r="AY10" s="26"/>
      <c r="AZ10" s="30" t="str">
        <f>"学年"&amp;AZ$1</f>
        <v>学年114</v>
      </c>
      <c r="BA10" s="25" t="str">
        <f ca="1">IF(OFFSET(Gemini抽出データ!$A$1,AZ8,1)=0,"",OFFSET(Gemini抽出データ!$A$1,AZ8,1))</f>
        <v/>
      </c>
      <c r="BB10" s="27"/>
      <c r="BC10" s="31" t="str">
        <f>"学年"&amp;BC$1</f>
        <v>学年115</v>
      </c>
      <c r="BD10" s="25" t="str">
        <f ca="1">IF(OFFSET(Gemini抽出データ!$A$1,BC8,1)=0,"",OFFSET(Gemini抽出データ!$A$1,BC8,1))</f>
        <v/>
      </c>
      <c r="BE10" s="26"/>
      <c r="BF10" s="30" t="str">
        <f>"学年"&amp;BF$1</f>
        <v>学年116</v>
      </c>
      <c r="BG10" s="25" t="str">
        <f ca="1">IF(OFFSET(Gemini抽出データ!$A$1,BF8,1)=0,"",OFFSET(Gemini抽出データ!$A$1,BF8,1))</f>
        <v/>
      </c>
      <c r="BH10" s="27"/>
      <c r="BI10" s="10" t="str">
        <f>"種類"&amp;BI$1</f>
        <v>種類141</v>
      </c>
      <c r="BJ10" s="25" t="str">
        <f ca="1">IF(OFFSET(Gemini抽出データ!$A$1,BI8,1)=0,"",OFFSET(Gemini抽出データ!$A$1,BI8,1))</f>
        <v/>
      </c>
      <c r="BK10" s="26"/>
      <c r="BL10" s="30" t="str">
        <f>"学年"&amp;BL$1</f>
        <v>学年142</v>
      </c>
      <c r="BM10" s="25" t="str">
        <f ca="1">IF(OFFSET(Gemini抽出データ!$A$1,BL8,1)=0,"",OFFSET(Gemini抽出データ!$A$1,BL8,1))</f>
        <v/>
      </c>
      <c r="BN10" s="27"/>
      <c r="BO10" s="31" t="str">
        <f>"学年"&amp;BO$1</f>
        <v>学年143</v>
      </c>
      <c r="BP10" s="25" t="str">
        <f ca="1">IF(OFFSET(Gemini抽出データ!$A$1,BO8,1)=0,"",OFFSET(Gemini抽出データ!$A$1,BO8,1))</f>
        <v/>
      </c>
      <c r="BQ10" s="26"/>
      <c r="BR10" s="30" t="str">
        <f>"学年"&amp;BR$1</f>
        <v>学年144</v>
      </c>
      <c r="BS10" s="25" t="str">
        <f ca="1">IF(OFFSET(Gemini抽出データ!$A$1,BR8,1)=0,"",OFFSET(Gemini抽出データ!$A$1,BR8,1))</f>
        <v/>
      </c>
      <c r="BT10" s="27"/>
      <c r="BU10" s="10" t="str">
        <f>"種類"&amp;BU$1</f>
        <v>種類169</v>
      </c>
      <c r="BV10" s="25" t="str">
        <f ca="1">IF(OFFSET(Gemini抽出データ!$A$1,BU8,1)=0,"",OFFSET(Gemini抽出データ!$A$1,BU8,1))</f>
        <v/>
      </c>
      <c r="BW10" s="26"/>
      <c r="BX10" s="30" t="str">
        <f>"学年"&amp;BX$1</f>
        <v>学年170</v>
      </c>
      <c r="BY10" s="25" t="str">
        <f ca="1">IF(OFFSET(Gemini抽出データ!$A$1,BX8,1)=0,"",OFFSET(Gemini抽出データ!$A$1,BX8,1))</f>
        <v/>
      </c>
      <c r="BZ10" s="27"/>
      <c r="CA10" s="31" t="str">
        <f>"学年"&amp;CA$1</f>
        <v>学年171</v>
      </c>
      <c r="CB10" s="25" t="str">
        <f ca="1">IF(OFFSET(Gemini抽出データ!$A$1,CA8,1)=0,"",OFFSET(Gemini抽出データ!$A$1,CA8,1))</f>
        <v/>
      </c>
      <c r="CC10" s="26"/>
      <c r="CD10" s="30" t="str">
        <f>"学年"&amp;CD$1</f>
        <v>学年172</v>
      </c>
      <c r="CE10" s="25" t="str">
        <f ca="1">IF(OFFSET(Gemini抽出データ!$A$1,CD8,1)=0,"",OFFSET(Gemini抽出データ!$A$1,CD8,1))</f>
        <v/>
      </c>
      <c r="CF10" s="27"/>
      <c r="CG10" s="10" t="str">
        <f>"種類"&amp;CG$1</f>
        <v>種類197</v>
      </c>
      <c r="CH10" s="25" t="str">
        <f ca="1">IF(OFFSET(Gemini抽出データ!$A$1,CG8,1)=0,"",OFFSET(Gemini抽出データ!$A$1,CG8,1))</f>
        <v/>
      </c>
      <c r="CI10" s="26"/>
      <c r="CJ10" s="30" t="str">
        <f>"学年"&amp;CJ$1</f>
        <v>学年198</v>
      </c>
      <c r="CK10" s="25" t="str">
        <f ca="1">IF(OFFSET(Gemini抽出データ!$A$1,CJ8,1)=0,"",OFFSET(Gemini抽出データ!$A$1,CJ8,1))</f>
        <v/>
      </c>
      <c r="CL10" s="27"/>
      <c r="CM10" s="31" t="str">
        <f>"学年"&amp;CM$1</f>
        <v>学年199</v>
      </c>
      <c r="CN10" s="25" t="str">
        <f ca="1">IF(OFFSET(Gemini抽出データ!$A$1,CM8,1)=0,"",OFFSET(Gemini抽出データ!$A$1,CM8,1))</f>
        <v/>
      </c>
      <c r="CO10" s="26"/>
      <c r="CP10" s="30" t="str">
        <f>"学年"&amp;CP$1</f>
        <v>学年200</v>
      </c>
      <c r="CQ10" s="25" t="str">
        <f ca="1">IF(OFFSET(Gemini抽出データ!$A$1,CP8,1)=0,"",OFFSET(Gemini抽出データ!$A$1,CP8,1))</f>
        <v/>
      </c>
      <c r="CR10" s="27"/>
      <c r="CS10" s="10" t="str">
        <f>"種類"&amp;CS$1</f>
        <v>種類225</v>
      </c>
      <c r="CT10" s="25" t="str">
        <f ca="1">IF(OFFSET(Gemini抽出データ!$A$1,CS8,1)=0,"",OFFSET(Gemini抽出データ!$A$1,CS8,1))</f>
        <v/>
      </c>
      <c r="CU10" s="26"/>
      <c r="CV10" s="30" t="str">
        <f>"学年"&amp;CV$1</f>
        <v>学年226</v>
      </c>
      <c r="CW10" s="25" t="str">
        <f ca="1">IF(OFFSET(Gemini抽出データ!$A$1,CV8,1)=0,"",OFFSET(Gemini抽出データ!$A$1,CV8,1))</f>
        <v/>
      </c>
      <c r="CX10" s="27"/>
      <c r="CY10" s="31" t="str">
        <f>"学年"&amp;CY$1</f>
        <v>学年227</v>
      </c>
      <c r="CZ10" s="25" t="str">
        <f ca="1">IF(OFFSET(Gemini抽出データ!$A$1,CY8,1)=0,"",OFFSET(Gemini抽出データ!$A$1,CY8,1))</f>
        <v/>
      </c>
      <c r="DA10" s="26"/>
      <c r="DB10" s="30" t="str">
        <f>"学年"&amp;DB$1</f>
        <v>学年228</v>
      </c>
      <c r="DC10" s="25" t="str">
        <f ca="1">IF(OFFSET(Gemini抽出データ!$A$1,DB8,1)=0,"",OFFSET(Gemini抽出データ!$A$1,DB8,1))</f>
        <v/>
      </c>
      <c r="DD10" s="27"/>
      <c r="DE10" s="10" t="str">
        <f>"種類"&amp;DE$1</f>
        <v>種類253</v>
      </c>
      <c r="DF10" s="25" t="str">
        <f ca="1">IF(OFFSET(Gemini抽出データ!$A$1,DE8,1)=0,"",OFFSET(Gemini抽出データ!$A$1,DE8,1))</f>
        <v/>
      </c>
      <c r="DG10" s="26"/>
      <c r="DH10" s="30" t="str">
        <f>"学年"&amp;DH$1</f>
        <v>学年254</v>
      </c>
      <c r="DI10" s="25" t="str">
        <f ca="1">IF(OFFSET(Gemini抽出データ!$A$1,DH8,1)=0,"",OFFSET(Gemini抽出データ!$A$1,DH8,1))</f>
        <v/>
      </c>
      <c r="DJ10" s="27"/>
      <c r="DK10" s="31" t="str">
        <f>"学年"&amp;DK$1</f>
        <v>学年255</v>
      </c>
      <c r="DL10" s="25" t="str">
        <f ca="1">IF(OFFSET(Gemini抽出データ!$A$1,DK8,1)=0,"",OFFSET(Gemini抽出データ!$A$1,DK8,1))</f>
        <v/>
      </c>
      <c r="DM10" s="26"/>
      <c r="DN10" s="30" t="str">
        <f>"学年"&amp;DN$1</f>
        <v>学年256</v>
      </c>
      <c r="DO10" s="25" t="str">
        <f ca="1">IF(OFFSET(Gemini抽出データ!$A$1,DN8,1)=0,"",OFFSET(Gemini抽出データ!$A$1,DN8,1))</f>
        <v/>
      </c>
      <c r="DP10" s="27"/>
      <c r="DQ10" s="10" t="str">
        <f>"種類"&amp;DQ$1</f>
        <v>種類281</v>
      </c>
      <c r="DR10" s="25" t="str">
        <f ca="1">IF(OFFSET(Gemini抽出データ!$A$1,DQ8,1)=0,"",OFFSET(Gemini抽出データ!$A$1,DQ8,1))</f>
        <v/>
      </c>
      <c r="DS10" s="26"/>
      <c r="DT10" s="30" t="str">
        <f>"学年"&amp;DT$1</f>
        <v>学年282</v>
      </c>
      <c r="DU10" s="25" t="str">
        <f ca="1">IF(OFFSET(Gemini抽出データ!$A$1,DT8,1)=0,"",OFFSET(Gemini抽出データ!$A$1,DT8,1))</f>
        <v/>
      </c>
      <c r="DV10" s="27"/>
      <c r="DW10" s="31" t="str">
        <f>"学年"&amp;DW$1</f>
        <v>学年283</v>
      </c>
      <c r="DX10" s="25" t="str">
        <f ca="1">IF(OFFSET(Gemini抽出データ!$A$1,DW8,1)=0,"",OFFSET(Gemini抽出データ!$A$1,DW8,1))</f>
        <v/>
      </c>
      <c r="DY10" s="26"/>
      <c r="DZ10" s="30" t="str">
        <f>"学年"&amp;DZ$1</f>
        <v>学年284</v>
      </c>
      <c r="EA10" s="25" t="str">
        <f ca="1">IF(OFFSET(Gemini抽出データ!$A$1,DZ8,1)=0,"",OFFSET(Gemini抽出データ!$A$1,DZ8,1))</f>
        <v/>
      </c>
      <c r="EB10" s="27"/>
      <c r="EC10" s="10" t="str">
        <f>"種類"&amp;EC$1</f>
        <v>種類309</v>
      </c>
      <c r="ED10" s="25" t="str">
        <f ca="1">IF(OFFSET(Gemini抽出データ!$A$1,EC8,1)=0,"",OFFSET(Gemini抽出データ!$A$1,EC8,1))</f>
        <v/>
      </c>
      <c r="EE10" s="26"/>
      <c r="EF10" s="30" t="str">
        <f>"学年"&amp;EF$1</f>
        <v>学年310</v>
      </c>
      <c r="EG10" s="25" t="str">
        <f ca="1">IF(OFFSET(Gemini抽出データ!$A$1,EF8,1)=0,"",OFFSET(Gemini抽出データ!$A$1,EF8,1))</f>
        <v/>
      </c>
      <c r="EH10" s="27"/>
      <c r="EI10" s="31" t="str">
        <f>"学年"&amp;EI$1</f>
        <v>学年311</v>
      </c>
      <c r="EJ10" s="25" t="str">
        <f ca="1">IF(OFFSET(Gemini抽出データ!$A$1,EI8,1)=0,"",OFFSET(Gemini抽出データ!$A$1,EI8,1))</f>
        <v/>
      </c>
      <c r="EK10" s="26"/>
      <c r="EL10" s="30" t="str">
        <f>"学年"&amp;EL$1</f>
        <v>学年312</v>
      </c>
      <c r="EM10" s="25" t="str">
        <f ca="1">IF(OFFSET(Gemini抽出データ!$A$1,EL8,1)=0,"",OFFSET(Gemini抽出データ!$A$1,EL8,1))</f>
        <v/>
      </c>
      <c r="EN10" s="27"/>
      <c r="EO10" s="10" t="str">
        <f>"種類"&amp;EO$1</f>
        <v>種類337</v>
      </c>
      <c r="EP10" s="25" t="str">
        <f ca="1">IF(OFFSET(Gemini抽出データ!$A$1,EO8,1)=0,"",OFFSET(Gemini抽出データ!$A$1,EO8,1))</f>
        <v/>
      </c>
      <c r="EQ10" s="26"/>
      <c r="ER10" s="30" t="str">
        <f>"学年"&amp;ER$1</f>
        <v>学年338</v>
      </c>
      <c r="ES10" s="25" t="str">
        <f ca="1">IF(OFFSET(Gemini抽出データ!$A$1,ER8,1)=0,"",OFFSET(Gemini抽出データ!$A$1,ER8,1))</f>
        <v/>
      </c>
      <c r="ET10" s="27"/>
      <c r="EU10" s="31" t="str">
        <f>"学年"&amp;EU$1</f>
        <v>学年339</v>
      </c>
      <c r="EV10" s="25" t="str">
        <f ca="1">IF(OFFSET(Gemini抽出データ!$A$1,EU8,1)=0,"",OFFSET(Gemini抽出データ!$A$1,EU8,1))</f>
        <v/>
      </c>
      <c r="EW10" s="26"/>
      <c r="EX10" s="30" t="str">
        <f>"学年"&amp;EX$1</f>
        <v>学年340</v>
      </c>
      <c r="EY10" s="25" t="str">
        <f ca="1">IF(OFFSET(Gemini抽出データ!$A$1,EX8,1)=0,"",OFFSET(Gemini抽出データ!$A$1,EX8,1))</f>
        <v/>
      </c>
      <c r="EZ10" s="27"/>
      <c r="FA10" s="10" t="str">
        <f>"種類"&amp;FA$1</f>
        <v>種類365</v>
      </c>
      <c r="FB10" s="25" t="str">
        <f ca="1">IF(OFFSET(Gemini抽出データ!$A$1,FA8,1)=0,"",OFFSET(Gemini抽出データ!$A$1,FA8,1))</f>
        <v/>
      </c>
      <c r="FC10" s="26"/>
      <c r="FD10" s="30" t="str">
        <f>"学年"&amp;FD$1</f>
        <v>学年366</v>
      </c>
      <c r="FE10" s="25" t="str">
        <f ca="1">IF(OFFSET(Gemini抽出データ!$A$1,FD8,1)=0,"",OFFSET(Gemini抽出データ!$A$1,FD8,1))</f>
        <v/>
      </c>
      <c r="FF10" s="27"/>
      <c r="FG10" s="31" t="str">
        <f>"学年"&amp;FG$1</f>
        <v>学年367</v>
      </c>
      <c r="FH10" s="25" t="str">
        <f ca="1">IF(OFFSET(Gemini抽出データ!$A$1,FG8,1)=0,"",OFFSET(Gemini抽出データ!$A$1,FG8,1))</f>
        <v/>
      </c>
      <c r="FI10" s="26"/>
      <c r="FJ10" s="30" t="str">
        <f>"学年"&amp;FJ$1</f>
        <v>学年368</v>
      </c>
      <c r="FK10" s="25" t="str">
        <f ca="1">IF(OFFSET(Gemini抽出データ!$A$1,FJ8,1)=0,"",OFFSET(Gemini抽出データ!$A$1,FJ8,1))</f>
        <v/>
      </c>
      <c r="FL10" s="27"/>
      <c r="FM10" s="10" t="str">
        <f>"種類"&amp;FM$1</f>
        <v>種類393</v>
      </c>
      <c r="FN10" s="25" t="str">
        <f ca="1">IF(OFFSET(Gemini抽出データ!$A$1,FM8,1)=0,"",OFFSET(Gemini抽出データ!$A$1,FM8,1))</f>
        <v/>
      </c>
      <c r="FO10" s="26"/>
      <c r="FP10" s="30" t="str">
        <f>"学年"&amp;FP$1</f>
        <v>学年394</v>
      </c>
      <c r="FQ10" s="25" t="str">
        <f ca="1">IF(OFFSET(Gemini抽出データ!$A$1,FP8,1)=0,"",OFFSET(Gemini抽出データ!$A$1,FP8,1))</f>
        <v/>
      </c>
      <c r="FR10" s="27"/>
      <c r="FS10" s="31" t="str">
        <f>"学年"&amp;FS$1</f>
        <v>学年395</v>
      </c>
      <c r="FT10" s="25" t="str">
        <f ca="1">IF(OFFSET(Gemini抽出データ!$A$1,FS8,1)=0,"",OFFSET(Gemini抽出データ!$A$1,FS8,1))</f>
        <v/>
      </c>
      <c r="FU10" s="26"/>
      <c r="FV10" s="30" t="str">
        <f>"学年"&amp;FV$1</f>
        <v>学年396</v>
      </c>
      <c r="FW10" s="25" t="str">
        <f ca="1">IF(OFFSET(Gemini抽出データ!$A$1,FV8,1)=0,"",OFFSET(Gemini抽出データ!$A$1,FV8,1))</f>
        <v/>
      </c>
      <c r="FX10" s="27"/>
      <c r="FY10" s="10" t="str">
        <f>"種類"&amp;FY$1</f>
        <v>種類421</v>
      </c>
      <c r="FZ10" s="25" t="str">
        <f ca="1">IF(OFFSET(Gemini抽出データ!$A$1,FY8,1)=0,"",OFFSET(Gemini抽出データ!$A$1,FY8,1))</f>
        <v/>
      </c>
      <c r="GA10" s="26"/>
      <c r="GB10" s="30" t="str">
        <f>"学年"&amp;GB$1</f>
        <v>学年422</v>
      </c>
      <c r="GC10" s="25" t="str">
        <f ca="1">IF(OFFSET(Gemini抽出データ!$A$1,GB8,1)=0,"",OFFSET(Gemini抽出データ!$A$1,GB8,1))</f>
        <v/>
      </c>
      <c r="GD10" s="27"/>
      <c r="GE10" s="31" t="str">
        <f>"学年"&amp;GE$1</f>
        <v>学年423</v>
      </c>
      <c r="GF10" s="25" t="str">
        <f ca="1">IF(OFFSET(Gemini抽出データ!$A$1,GE8,1)=0,"",OFFSET(Gemini抽出データ!$A$1,GE8,1))</f>
        <v/>
      </c>
      <c r="GG10" s="26"/>
      <c r="GH10" s="30" t="str">
        <f>"学年"&amp;GH$1</f>
        <v>学年424</v>
      </c>
      <c r="GI10" s="25" t="str">
        <f ca="1">IF(OFFSET(Gemini抽出データ!$A$1,GH8,1)=0,"",OFFSET(Gemini抽出データ!$A$1,GH8,1))</f>
        <v/>
      </c>
      <c r="GJ10" s="27"/>
      <c r="GK10" s="10" t="str">
        <f>"種類"&amp;GK$1</f>
        <v>種類449</v>
      </c>
      <c r="GL10" s="25" t="str">
        <f ca="1">IF(OFFSET(Gemini抽出データ!$A$1,GK8,1)=0,"",OFFSET(Gemini抽出データ!$A$1,GK8,1))</f>
        <v/>
      </c>
      <c r="GM10" s="26"/>
      <c r="GN10" s="30" t="str">
        <f>"学年"&amp;GN$1</f>
        <v>学年450</v>
      </c>
      <c r="GO10" s="25" t="str">
        <f ca="1">IF(OFFSET(Gemini抽出データ!$A$1,GN8,1)=0,"",OFFSET(Gemini抽出データ!$A$1,GN8,1))</f>
        <v/>
      </c>
      <c r="GP10" s="27"/>
      <c r="GQ10" s="31" t="str">
        <f>"学年"&amp;GQ$1</f>
        <v>学年451</v>
      </c>
      <c r="GR10" s="25" t="str">
        <f ca="1">IF(OFFSET(Gemini抽出データ!$A$1,GQ8,1)=0,"",OFFSET(Gemini抽出データ!$A$1,GQ8,1))</f>
        <v/>
      </c>
      <c r="GS10" s="26"/>
      <c r="GT10" s="30" t="str">
        <f>"学年"&amp;GT$1</f>
        <v>学年452</v>
      </c>
      <c r="GU10" s="25" t="str">
        <f ca="1">IF(OFFSET(Gemini抽出データ!$A$1,GT8,1)=0,"",OFFSET(Gemini抽出データ!$A$1,GT8,1))</f>
        <v/>
      </c>
      <c r="GV10" s="27"/>
      <c r="GW10" s="10" t="str">
        <f>"種類"&amp;GW$1</f>
        <v>種類477</v>
      </c>
      <c r="GX10" s="25" t="str">
        <f ca="1">IF(OFFSET(Gemini抽出データ!$A$1,GW8,1)=0,"",OFFSET(Gemini抽出データ!$A$1,GW8,1))</f>
        <v/>
      </c>
      <c r="GY10" s="26"/>
      <c r="GZ10" s="30" t="str">
        <f>"学年"&amp;GZ$1</f>
        <v>学年478</v>
      </c>
      <c r="HA10" s="25" t="str">
        <f ca="1">IF(OFFSET(Gemini抽出データ!$A$1,GZ8,1)=0,"",OFFSET(Gemini抽出データ!$A$1,GZ8,1))</f>
        <v/>
      </c>
      <c r="HB10" s="27"/>
      <c r="HC10" s="31" t="str">
        <f>"学年"&amp;HC$1</f>
        <v>学年479</v>
      </c>
      <c r="HD10" s="25" t="str">
        <f ca="1">IF(OFFSET(Gemini抽出データ!$A$1,HC8,1)=0,"",OFFSET(Gemini抽出データ!$A$1,HC8,1))</f>
        <v/>
      </c>
      <c r="HE10" s="26"/>
      <c r="HF10" s="30" t="str">
        <f>"学年"&amp;HF$1</f>
        <v>学年480</v>
      </c>
      <c r="HG10" s="25" t="str">
        <f ca="1">IF(OFFSET(Gemini抽出データ!$A$1,HF8,1)=0,"",OFFSET(Gemini抽出データ!$A$1,HF8,1))</f>
        <v/>
      </c>
      <c r="HH10" s="27"/>
      <c r="HI10" s="10" t="str">
        <f>"種類"&amp;HI$1</f>
        <v>種類505</v>
      </c>
      <c r="HJ10" s="25" t="str">
        <f ca="1">IF(OFFSET(Gemini抽出データ!$A$1,HI8,1)=0,"",OFFSET(Gemini抽出データ!$A$1,HI8,1))</f>
        <v/>
      </c>
      <c r="HK10" s="26"/>
      <c r="HL10" s="30" t="str">
        <f>"学年"&amp;HL$1</f>
        <v>学年506</v>
      </c>
      <c r="HM10" s="25" t="str">
        <f ca="1">IF(OFFSET(Gemini抽出データ!$A$1,HL8,1)=0,"",OFFSET(Gemini抽出データ!$A$1,HL8,1))</f>
        <v/>
      </c>
      <c r="HN10" s="27"/>
      <c r="HO10" s="31" t="str">
        <f>"学年"&amp;HO$1</f>
        <v>学年507</v>
      </c>
      <c r="HP10" s="25" t="str">
        <f ca="1">IF(OFFSET(Gemini抽出データ!$A$1,HO8,1)=0,"",OFFSET(Gemini抽出データ!$A$1,HO8,1))</f>
        <v/>
      </c>
      <c r="HQ10" s="26"/>
      <c r="HR10" s="30" t="str">
        <f>"学年"&amp;HR$1</f>
        <v>学年508</v>
      </c>
      <c r="HS10" s="25" t="str">
        <f ca="1">IF(OFFSET(Gemini抽出データ!$A$1,HR8,1)=0,"",OFFSET(Gemini抽出データ!$A$1,HR8,1))</f>
        <v/>
      </c>
      <c r="HT10" s="27"/>
      <c r="HU10" s="2" t="e">
        <f ca="1">IF(OFFSET(Gemini抽出データ!$A$1,#REF!,1)=0,"",OFFSET(Gemini抽出データ!$A$1,#REF!,1))</f>
        <v>#REF!</v>
      </c>
      <c r="HV10" s="3"/>
    </row>
    <row r="11" spans="1:230" ht="17.100000000000001" customHeight="1" x14ac:dyDescent="0.45">
      <c r="A11" s="10" t="str">
        <f>"学年"&amp;A$1</f>
        <v>学年1</v>
      </c>
      <c r="B11" s="26"/>
      <c r="C11" s="26"/>
      <c r="D11" s="30"/>
      <c r="E11" s="26"/>
      <c r="F11" s="27"/>
      <c r="G11" s="31"/>
      <c r="H11" s="26"/>
      <c r="I11" s="26"/>
      <c r="J11" s="30"/>
      <c r="K11" s="26"/>
      <c r="L11" s="27"/>
      <c r="M11" s="10" t="str">
        <f>"学年"&amp;M$1</f>
        <v>学年29</v>
      </c>
      <c r="N11" s="26"/>
      <c r="O11" s="26"/>
      <c r="P11" s="30"/>
      <c r="Q11" s="26"/>
      <c r="R11" s="27"/>
      <c r="S11" s="31"/>
      <c r="T11" s="26"/>
      <c r="U11" s="26"/>
      <c r="V11" s="30"/>
      <c r="W11" s="26"/>
      <c r="X11" s="27"/>
      <c r="Y11" s="10" t="str">
        <f>"学年"&amp;Y$1</f>
        <v>学年57</v>
      </c>
      <c r="Z11" s="26"/>
      <c r="AA11" s="26"/>
      <c r="AB11" s="30"/>
      <c r="AC11" s="26"/>
      <c r="AD11" s="27"/>
      <c r="AE11" s="31"/>
      <c r="AF11" s="26"/>
      <c r="AG11" s="26"/>
      <c r="AH11" s="30"/>
      <c r="AI11" s="26"/>
      <c r="AJ11" s="27"/>
      <c r="AK11" s="10" t="str">
        <f>"学年"&amp;AK$1</f>
        <v>学年85</v>
      </c>
      <c r="AL11" s="26"/>
      <c r="AM11" s="26"/>
      <c r="AN11" s="30"/>
      <c r="AO11" s="26"/>
      <c r="AP11" s="27"/>
      <c r="AQ11" s="31"/>
      <c r="AR11" s="26"/>
      <c r="AS11" s="26"/>
      <c r="AT11" s="30"/>
      <c r="AU11" s="26"/>
      <c r="AV11" s="27"/>
      <c r="AW11" s="10" t="str">
        <f>"学年"&amp;AW$1</f>
        <v>学年113</v>
      </c>
      <c r="AX11" s="26"/>
      <c r="AY11" s="26"/>
      <c r="AZ11" s="30"/>
      <c r="BA11" s="26"/>
      <c r="BB11" s="27"/>
      <c r="BC11" s="31"/>
      <c r="BD11" s="26"/>
      <c r="BE11" s="26"/>
      <c r="BF11" s="30"/>
      <c r="BG11" s="26"/>
      <c r="BH11" s="27"/>
      <c r="BI11" s="10" t="str">
        <f>"学年"&amp;BI$1</f>
        <v>学年141</v>
      </c>
      <c r="BJ11" s="26"/>
      <c r="BK11" s="26"/>
      <c r="BL11" s="30"/>
      <c r="BM11" s="26"/>
      <c r="BN11" s="27"/>
      <c r="BO11" s="31"/>
      <c r="BP11" s="26"/>
      <c r="BQ11" s="26"/>
      <c r="BR11" s="30"/>
      <c r="BS11" s="26"/>
      <c r="BT11" s="27"/>
      <c r="BU11" s="10" t="str">
        <f>"学年"&amp;BU$1</f>
        <v>学年169</v>
      </c>
      <c r="BV11" s="26"/>
      <c r="BW11" s="26"/>
      <c r="BX11" s="30"/>
      <c r="BY11" s="26"/>
      <c r="BZ11" s="27"/>
      <c r="CA11" s="31"/>
      <c r="CB11" s="26"/>
      <c r="CC11" s="26"/>
      <c r="CD11" s="30"/>
      <c r="CE11" s="26"/>
      <c r="CF11" s="27"/>
      <c r="CG11" s="10" t="str">
        <f>"学年"&amp;CG$1</f>
        <v>学年197</v>
      </c>
      <c r="CH11" s="26"/>
      <c r="CI11" s="26"/>
      <c r="CJ11" s="30"/>
      <c r="CK11" s="26"/>
      <c r="CL11" s="27"/>
      <c r="CM11" s="31"/>
      <c r="CN11" s="26"/>
      <c r="CO11" s="26"/>
      <c r="CP11" s="30"/>
      <c r="CQ11" s="26"/>
      <c r="CR11" s="27"/>
      <c r="CS11" s="10" t="str">
        <f>"学年"&amp;CS$1</f>
        <v>学年225</v>
      </c>
      <c r="CT11" s="26"/>
      <c r="CU11" s="26"/>
      <c r="CV11" s="30"/>
      <c r="CW11" s="26"/>
      <c r="CX11" s="27"/>
      <c r="CY11" s="31"/>
      <c r="CZ11" s="26"/>
      <c r="DA11" s="26"/>
      <c r="DB11" s="30"/>
      <c r="DC11" s="26"/>
      <c r="DD11" s="27"/>
      <c r="DE11" s="10" t="str">
        <f>"学年"&amp;DE$1</f>
        <v>学年253</v>
      </c>
      <c r="DF11" s="26"/>
      <c r="DG11" s="26"/>
      <c r="DH11" s="30"/>
      <c r="DI11" s="26"/>
      <c r="DJ11" s="27"/>
      <c r="DK11" s="31"/>
      <c r="DL11" s="26"/>
      <c r="DM11" s="26"/>
      <c r="DN11" s="30"/>
      <c r="DO11" s="26"/>
      <c r="DP11" s="27"/>
      <c r="DQ11" s="10" t="str">
        <f>"学年"&amp;DQ$1</f>
        <v>学年281</v>
      </c>
      <c r="DR11" s="26"/>
      <c r="DS11" s="26"/>
      <c r="DT11" s="30"/>
      <c r="DU11" s="26"/>
      <c r="DV11" s="27"/>
      <c r="DW11" s="31"/>
      <c r="DX11" s="26"/>
      <c r="DY11" s="26"/>
      <c r="DZ11" s="30"/>
      <c r="EA11" s="26"/>
      <c r="EB11" s="27"/>
      <c r="EC11" s="10" t="str">
        <f>"学年"&amp;EC$1</f>
        <v>学年309</v>
      </c>
      <c r="ED11" s="26"/>
      <c r="EE11" s="26"/>
      <c r="EF11" s="30"/>
      <c r="EG11" s="26"/>
      <c r="EH11" s="27"/>
      <c r="EI11" s="31"/>
      <c r="EJ11" s="26"/>
      <c r="EK11" s="26"/>
      <c r="EL11" s="30"/>
      <c r="EM11" s="26"/>
      <c r="EN11" s="27"/>
      <c r="EO11" s="10" t="str">
        <f>"学年"&amp;EO$1</f>
        <v>学年337</v>
      </c>
      <c r="EP11" s="26"/>
      <c r="EQ11" s="26"/>
      <c r="ER11" s="30"/>
      <c r="ES11" s="26"/>
      <c r="ET11" s="27"/>
      <c r="EU11" s="31"/>
      <c r="EV11" s="26"/>
      <c r="EW11" s="26"/>
      <c r="EX11" s="30"/>
      <c r="EY11" s="26"/>
      <c r="EZ11" s="27"/>
      <c r="FA11" s="10" t="str">
        <f>"学年"&amp;FA$1</f>
        <v>学年365</v>
      </c>
      <c r="FB11" s="26"/>
      <c r="FC11" s="26"/>
      <c r="FD11" s="30"/>
      <c r="FE11" s="26"/>
      <c r="FF11" s="27"/>
      <c r="FG11" s="31"/>
      <c r="FH11" s="26"/>
      <c r="FI11" s="26"/>
      <c r="FJ11" s="30"/>
      <c r="FK11" s="26"/>
      <c r="FL11" s="27"/>
      <c r="FM11" s="10" t="str">
        <f>"学年"&amp;FM$1</f>
        <v>学年393</v>
      </c>
      <c r="FN11" s="26"/>
      <c r="FO11" s="26"/>
      <c r="FP11" s="30"/>
      <c r="FQ11" s="26"/>
      <c r="FR11" s="27"/>
      <c r="FS11" s="31"/>
      <c r="FT11" s="26"/>
      <c r="FU11" s="26"/>
      <c r="FV11" s="30"/>
      <c r="FW11" s="26"/>
      <c r="FX11" s="27"/>
      <c r="FY11" s="10" t="str">
        <f>"学年"&amp;FY$1</f>
        <v>学年421</v>
      </c>
      <c r="FZ11" s="26"/>
      <c r="GA11" s="26"/>
      <c r="GB11" s="30"/>
      <c r="GC11" s="26"/>
      <c r="GD11" s="27"/>
      <c r="GE11" s="31"/>
      <c r="GF11" s="26"/>
      <c r="GG11" s="26"/>
      <c r="GH11" s="30"/>
      <c r="GI11" s="26"/>
      <c r="GJ11" s="27"/>
      <c r="GK11" s="10" t="str">
        <f>"学年"&amp;GK$1</f>
        <v>学年449</v>
      </c>
      <c r="GL11" s="26"/>
      <c r="GM11" s="26"/>
      <c r="GN11" s="30"/>
      <c r="GO11" s="26"/>
      <c r="GP11" s="27"/>
      <c r="GQ11" s="31"/>
      <c r="GR11" s="26"/>
      <c r="GS11" s="26"/>
      <c r="GT11" s="30"/>
      <c r="GU11" s="26"/>
      <c r="GV11" s="27"/>
      <c r="GW11" s="10" t="str">
        <f>"学年"&amp;GW$1</f>
        <v>学年477</v>
      </c>
      <c r="GX11" s="26"/>
      <c r="GY11" s="26"/>
      <c r="GZ11" s="30"/>
      <c r="HA11" s="26"/>
      <c r="HB11" s="27"/>
      <c r="HC11" s="31"/>
      <c r="HD11" s="26"/>
      <c r="HE11" s="26"/>
      <c r="HF11" s="30"/>
      <c r="HG11" s="26"/>
      <c r="HH11" s="27"/>
      <c r="HI11" s="10" t="str">
        <f>"学年"&amp;HI$1</f>
        <v>学年505</v>
      </c>
      <c r="HJ11" s="26"/>
      <c r="HK11" s="26"/>
      <c r="HL11" s="30"/>
      <c r="HM11" s="26"/>
      <c r="HN11" s="27"/>
      <c r="HO11" s="31"/>
      <c r="HP11" s="26"/>
      <c r="HQ11" s="26"/>
      <c r="HR11" s="30"/>
      <c r="HS11" s="26"/>
      <c r="HT11" s="27"/>
      <c r="HU11" s="3"/>
      <c r="HV11" s="3"/>
    </row>
    <row r="12" spans="1:230" ht="17.100000000000001" customHeight="1" x14ac:dyDescent="0.45">
      <c r="A12" s="10"/>
      <c r="B12" s="22">
        <f ca="1">OFFSET(Gemini抽出データ!$A$1,A8,3)</f>
        <v>0</v>
      </c>
      <c r="C12" s="23"/>
      <c r="D12" s="28"/>
      <c r="E12" s="22">
        <f ca="1">OFFSET(Gemini抽出データ!$A$1,D8,3)</f>
        <v>0</v>
      </c>
      <c r="F12" s="24"/>
      <c r="G12" s="29"/>
      <c r="H12" s="22">
        <f ca="1">OFFSET(Gemini抽出データ!$A$1,G8,3)</f>
        <v>0</v>
      </c>
      <c r="I12" s="23"/>
      <c r="J12" s="28"/>
      <c r="K12" s="22">
        <f ca="1">OFFSET(Gemini抽出データ!$A$1,J8,3)</f>
        <v>0</v>
      </c>
      <c r="L12" s="24"/>
      <c r="M12" s="10"/>
      <c r="N12" s="22">
        <f ca="1">OFFSET(Gemini抽出データ!$A$1,M8,3)</f>
        <v>0</v>
      </c>
      <c r="O12" s="23"/>
      <c r="P12" s="28"/>
      <c r="Q12" s="22">
        <f ca="1">OFFSET(Gemini抽出データ!$A$1,P8,3)</f>
        <v>0</v>
      </c>
      <c r="R12" s="24"/>
      <c r="S12" s="29"/>
      <c r="T12" s="22">
        <f ca="1">OFFSET(Gemini抽出データ!$A$1,S8,3)</f>
        <v>0</v>
      </c>
      <c r="U12" s="23"/>
      <c r="V12" s="28"/>
      <c r="W12" s="22">
        <f ca="1">OFFSET(Gemini抽出データ!$A$1,V8,3)</f>
        <v>0</v>
      </c>
      <c r="X12" s="24"/>
      <c r="Y12" s="10"/>
      <c r="Z12" s="22">
        <f ca="1">OFFSET(Gemini抽出データ!$A$1,Y8,3)</f>
        <v>0</v>
      </c>
      <c r="AA12" s="23"/>
      <c r="AB12" s="28"/>
      <c r="AC12" s="22">
        <f ca="1">OFFSET(Gemini抽出データ!$A$1,AB8,3)</f>
        <v>0</v>
      </c>
      <c r="AD12" s="24"/>
      <c r="AE12" s="29"/>
      <c r="AF12" s="22">
        <f ca="1">OFFSET(Gemini抽出データ!$A$1,AE8,3)</f>
        <v>0</v>
      </c>
      <c r="AG12" s="23"/>
      <c r="AH12" s="28"/>
      <c r="AI12" s="22">
        <f ca="1">OFFSET(Gemini抽出データ!$A$1,AH8,3)</f>
        <v>0</v>
      </c>
      <c r="AJ12" s="24"/>
      <c r="AK12" s="10"/>
      <c r="AL12" s="22">
        <f ca="1">OFFSET(Gemini抽出データ!$A$1,AK8,3)</f>
        <v>0</v>
      </c>
      <c r="AM12" s="23"/>
      <c r="AN12" s="28"/>
      <c r="AO12" s="22">
        <f ca="1">OFFSET(Gemini抽出データ!$A$1,AN8,3)</f>
        <v>0</v>
      </c>
      <c r="AP12" s="24"/>
      <c r="AQ12" s="29"/>
      <c r="AR12" s="22">
        <f ca="1">OFFSET(Gemini抽出データ!$A$1,AQ8,3)</f>
        <v>0</v>
      </c>
      <c r="AS12" s="23"/>
      <c r="AT12" s="28"/>
      <c r="AU12" s="22">
        <f ca="1">OFFSET(Gemini抽出データ!$A$1,AT8,3)</f>
        <v>0</v>
      </c>
      <c r="AV12" s="24"/>
      <c r="AW12" s="10"/>
      <c r="AX12" s="22">
        <f ca="1">OFFSET(Gemini抽出データ!$A$1,AW8,3)</f>
        <v>0</v>
      </c>
      <c r="AY12" s="23"/>
      <c r="AZ12" s="28"/>
      <c r="BA12" s="22">
        <f ca="1">OFFSET(Gemini抽出データ!$A$1,AZ8,3)</f>
        <v>0</v>
      </c>
      <c r="BB12" s="24"/>
      <c r="BC12" s="29"/>
      <c r="BD12" s="22">
        <f ca="1">OFFSET(Gemini抽出データ!$A$1,BC8,3)</f>
        <v>0</v>
      </c>
      <c r="BE12" s="23"/>
      <c r="BF12" s="28"/>
      <c r="BG12" s="22">
        <f ca="1">OFFSET(Gemini抽出データ!$A$1,BF8,3)</f>
        <v>0</v>
      </c>
      <c r="BH12" s="24"/>
      <c r="BI12" s="10"/>
      <c r="BJ12" s="22">
        <f ca="1">OFFSET(Gemini抽出データ!$A$1,BI8,3)</f>
        <v>0</v>
      </c>
      <c r="BK12" s="23"/>
      <c r="BL12" s="28"/>
      <c r="BM12" s="22">
        <f ca="1">OFFSET(Gemini抽出データ!$A$1,BL8,3)</f>
        <v>0</v>
      </c>
      <c r="BN12" s="24"/>
      <c r="BO12" s="29"/>
      <c r="BP12" s="22">
        <f ca="1">OFFSET(Gemini抽出データ!$A$1,BO8,3)</f>
        <v>0</v>
      </c>
      <c r="BQ12" s="23"/>
      <c r="BR12" s="28"/>
      <c r="BS12" s="22">
        <f ca="1">OFFSET(Gemini抽出データ!$A$1,BR8,3)</f>
        <v>0</v>
      </c>
      <c r="BT12" s="24"/>
      <c r="BU12" s="10"/>
      <c r="BV12" s="22">
        <f ca="1">OFFSET(Gemini抽出データ!$A$1,BU8,3)</f>
        <v>0</v>
      </c>
      <c r="BW12" s="23"/>
      <c r="BX12" s="28"/>
      <c r="BY12" s="22">
        <f ca="1">OFFSET(Gemini抽出データ!$A$1,BX8,3)</f>
        <v>0</v>
      </c>
      <c r="BZ12" s="24"/>
      <c r="CA12" s="29"/>
      <c r="CB12" s="22">
        <f ca="1">OFFSET(Gemini抽出データ!$A$1,CA8,3)</f>
        <v>0</v>
      </c>
      <c r="CC12" s="23"/>
      <c r="CD12" s="28"/>
      <c r="CE12" s="22">
        <f ca="1">OFFSET(Gemini抽出データ!$A$1,CD8,3)</f>
        <v>0</v>
      </c>
      <c r="CF12" s="24"/>
      <c r="CG12" s="10"/>
      <c r="CH12" s="22">
        <f ca="1">OFFSET(Gemini抽出データ!$A$1,CG8,3)</f>
        <v>0</v>
      </c>
      <c r="CI12" s="23"/>
      <c r="CJ12" s="28"/>
      <c r="CK12" s="22">
        <f ca="1">OFFSET(Gemini抽出データ!$A$1,CJ8,3)</f>
        <v>0</v>
      </c>
      <c r="CL12" s="24"/>
      <c r="CM12" s="29"/>
      <c r="CN12" s="22">
        <f ca="1">OFFSET(Gemini抽出データ!$A$1,CM8,3)</f>
        <v>0</v>
      </c>
      <c r="CO12" s="23"/>
      <c r="CP12" s="28"/>
      <c r="CQ12" s="22">
        <f ca="1">OFFSET(Gemini抽出データ!$A$1,CP8,3)</f>
        <v>0</v>
      </c>
      <c r="CR12" s="24"/>
      <c r="CS12" s="10"/>
      <c r="CT12" s="22">
        <f ca="1">OFFSET(Gemini抽出データ!$A$1,CS8,3)</f>
        <v>0</v>
      </c>
      <c r="CU12" s="23"/>
      <c r="CV12" s="28"/>
      <c r="CW12" s="22">
        <f ca="1">OFFSET(Gemini抽出データ!$A$1,CV8,3)</f>
        <v>0</v>
      </c>
      <c r="CX12" s="24"/>
      <c r="CY12" s="29"/>
      <c r="CZ12" s="22">
        <f ca="1">OFFSET(Gemini抽出データ!$A$1,CY8,3)</f>
        <v>0</v>
      </c>
      <c r="DA12" s="23"/>
      <c r="DB12" s="28"/>
      <c r="DC12" s="22">
        <f ca="1">OFFSET(Gemini抽出データ!$A$1,DB8,3)</f>
        <v>0</v>
      </c>
      <c r="DD12" s="24"/>
      <c r="DE12" s="10"/>
      <c r="DF12" s="22">
        <f ca="1">OFFSET(Gemini抽出データ!$A$1,DE8,3)</f>
        <v>0</v>
      </c>
      <c r="DG12" s="23"/>
      <c r="DH12" s="28"/>
      <c r="DI12" s="22">
        <f ca="1">OFFSET(Gemini抽出データ!$A$1,DH8,3)</f>
        <v>0</v>
      </c>
      <c r="DJ12" s="24"/>
      <c r="DK12" s="29"/>
      <c r="DL12" s="22">
        <f ca="1">OFFSET(Gemini抽出データ!$A$1,DK8,3)</f>
        <v>0</v>
      </c>
      <c r="DM12" s="23"/>
      <c r="DN12" s="28"/>
      <c r="DO12" s="22">
        <f ca="1">OFFSET(Gemini抽出データ!$A$1,DN8,3)</f>
        <v>0</v>
      </c>
      <c r="DP12" s="24"/>
      <c r="DQ12" s="10"/>
      <c r="DR12" s="22">
        <f ca="1">OFFSET(Gemini抽出データ!$A$1,DQ8,3)</f>
        <v>0</v>
      </c>
      <c r="DS12" s="23"/>
      <c r="DT12" s="28"/>
      <c r="DU12" s="22">
        <f ca="1">OFFSET(Gemini抽出データ!$A$1,DT8,3)</f>
        <v>0</v>
      </c>
      <c r="DV12" s="24"/>
      <c r="DW12" s="29"/>
      <c r="DX12" s="22">
        <f ca="1">OFFSET(Gemini抽出データ!$A$1,DW8,3)</f>
        <v>0</v>
      </c>
      <c r="DY12" s="23"/>
      <c r="DZ12" s="28"/>
      <c r="EA12" s="22">
        <f ca="1">OFFSET(Gemini抽出データ!$A$1,DZ8,3)</f>
        <v>0</v>
      </c>
      <c r="EB12" s="24"/>
      <c r="EC12" s="10"/>
      <c r="ED12" s="22">
        <f ca="1">OFFSET(Gemini抽出データ!$A$1,EC8,3)</f>
        <v>0</v>
      </c>
      <c r="EE12" s="23"/>
      <c r="EF12" s="28"/>
      <c r="EG12" s="22">
        <f ca="1">OFFSET(Gemini抽出データ!$A$1,EF8,3)</f>
        <v>0</v>
      </c>
      <c r="EH12" s="24"/>
      <c r="EI12" s="29"/>
      <c r="EJ12" s="22">
        <f ca="1">OFFSET(Gemini抽出データ!$A$1,EI8,3)</f>
        <v>0</v>
      </c>
      <c r="EK12" s="23"/>
      <c r="EL12" s="28"/>
      <c r="EM12" s="22">
        <f ca="1">OFFSET(Gemini抽出データ!$A$1,EL8,3)</f>
        <v>0</v>
      </c>
      <c r="EN12" s="24"/>
      <c r="EO12" s="10"/>
      <c r="EP12" s="22">
        <f ca="1">OFFSET(Gemini抽出データ!$A$1,EO8,3)</f>
        <v>0</v>
      </c>
      <c r="EQ12" s="23"/>
      <c r="ER12" s="28"/>
      <c r="ES12" s="22">
        <f ca="1">OFFSET(Gemini抽出データ!$A$1,ER8,3)</f>
        <v>0</v>
      </c>
      <c r="ET12" s="24"/>
      <c r="EU12" s="29"/>
      <c r="EV12" s="22">
        <f ca="1">OFFSET(Gemini抽出データ!$A$1,EU8,3)</f>
        <v>0</v>
      </c>
      <c r="EW12" s="23"/>
      <c r="EX12" s="28"/>
      <c r="EY12" s="22">
        <f ca="1">OFFSET(Gemini抽出データ!$A$1,EX8,3)</f>
        <v>0</v>
      </c>
      <c r="EZ12" s="24"/>
      <c r="FA12" s="10"/>
      <c r="FB12" s="22">
        <f ca="1">OFFSET(Gemini抽出データ!$A$1,FA8,3)</f>
        <v>0</v>
      </c>
      <c r="FC12" s="23"/>
      <c r="FD12" s="28"/>
      <c r="FE12" s="22">
        <f ca="1">OFFSET(Gemini抽出データ!$A$1,FD8,3)</f>
        <v>0</v>
      </c>
      <c r="FF12" s="24"/>
      <c r="FG12" s="29"/>
      <c r="FH12" s="22">
        <f ca="1">OFFSET(Gemini抽出データ!$A$1,FG8,3)</f>
        <v>0</v>
      </c>
      <c r="FI12" s="23"/>
      <c r="FJ12" s="28"/>
      <c r="FK12" s="22">
        <f ca="1">OFFSET(Gemini抽出データ!$A$1,FJ8,3)</f>
        <v>0</v>
      </c>
      <c r="FL12" s="24"/>
      <c r="FM12" s="10"/>
      <c r="FN12" s="22">
        <f ca="1">OFFSET(Gemini抽出データ!$A$1,FM8,3)</f>
        <v>0</v>
      </c>
      <c r="FO12" s="23"/>
      <c r="FP12" s="28"/>
      <c r="FQ12" s="22">
        <f ca="1">OFFSET(Gemini抽出データ!$A$1,FP8,3)</f>
        <v>0</v>
      </c>
      <c r="FR12" s="24"/>
      <c r="FS12" s="29"/>
      <c r="FT12" s="22">
        <f ca="1">OFFSET(Gemini抽出データ!$A$1,FS8,3)</f>
        <v>0</v>
      </c>
      <c r="FU12" s="23"/>
      <c r="FV12" s="28"/>
      <c r="FW12" s="22">
        <f ca="1">OFFSET(Gemini抽出データ!$A$1,FV8,3)</f>
        <v>0</v>
      </c>
      <c r="FX12" s="24"/>
      <c r="FY12" s="10"/>
      <c r="FZ12" s="22">
        <f ca="1">OFFSET(Gemini抽出データ!$A$1,FY8,3)</f>
        <v>0</v>
      </c>
      <c r="GA12" s="23"/>
      <c r="GB12" s="28"/>
      <c r="GC12" s="22">
        <f ca="1">OFFSET(Gemini抽出データ!$A$1,GB8,3)</f>
        <v>0</v>
      </c>
      <c r="GD12" s="24"/>
      <c r="GE12" s="29"/>
      <c r="GF12" s="22">
        <f ca="1">OFFSET(Gemini抽出データ!$A$1,GE8,3)</f>
        <v>0</v>
      </c>
      <c r="GG12" s="23"/>
      <c r="GH12" s="28"/>
      <c r="GI12" s="22">
        <f ca="1">OFFSET(Gemini抽出データ!$A$1,GH8,3)</f>
        <v>0</v>
      </c>
      <c r="GJ12" s="24"/>
      <c r="GK12" s="10"/>
      <c r="GL12" s="22">
        <f ca="1">OFFSET(Gemini抽出データ!$A$1,GK8,3)</f>
        <v>0</v>
      </c>
      <c r="GM12" s="23"/>
      <c r="GN12" s="28"/>
      <c r="GO12" s="22">
        <f ca="1">OFFSET(Gemini抽出データ!$A$1,GN8,3)</f>
        <v>0</v>
      </c>
      <c r="GP12" s="24"/>
      <c r="GQ12" s="29"/>
      <c r="GR12" s="22">
        <f ca="1">OFFSET(Gemini抽出データ!$A$1,GQ8,3)</f>
        <v>0</v>
      </c>
      <c r="GS12" s="23"/>
      <c r="GT12" s="28"/>
      <c r="GU12" s="22">
        <f ca="1">OFFSET(Gemini抽出データ!$A$1,GT8,3)</f>
        <v>0</v>
      </c>
      <c r="GV12" s="24"/>
      <c r="GW12" s="10"/>
      <c r="GX12" s="22">
        <f ca="1">OFFSET(Gemini抽出データ!$A$1,GW8,3)</f>
        <v>0</v>
      </c>
      <c r="GY12" s="23"/>
      <c r="GZ12" s="28"/>
      <c r="HA12" s="22">
        <f ca="1">OFFSET(Gemini抽出データ!$A$1,GZ8,3)</f>
        <v>0</v>
      </c>
      <c r="HB12" s="24"/>
      <c r="HC12" s="29"/>
      <c r="HD12" s="22">
        <f ca="1">OFFSET(Gemini抽出データ!$A$1,HC8,3)</f>
        <v>0</v>
      </c>
      <c r="HE12" s="23"/>
      <c r="HF12" s="28"/>
      <c r="HG12" s="22">
        <f ca="1">OFFSET(Gemini抽出データ!$A$1,HF8,3)</f>
        <v>0</v>
      </c>
      <c r="HH12" s="24"/>
      <c r="HI12" s="10"/>
      <c r="HJ12" s="22">
        <f ca="1">OFFSET(Gemini抽出データ!$A$1,HI8,3)</f>
        <v>0</v>
      </c>
      <c r="HK12" s="23"/>
      <c r="HL12" s="28"/>
      <c r="HM12" s="22">
        <f ca="1">OFFSET(Gemini抽出データ!$A$1,HL8,3)</f>
        <v>0</v>
      </c>
      <c r="HN12" s="24"/>
      <c r="HO12" s="29"/>
      <c r="HP12" s="22">
        <f ca="1">OFFSET(Gemini抽出データ!$A$1,HO8,3)</f>
        <v>0</v>
      </c>
      <c r="HQ12" s="23"/>
      <c r="HR12" s="28"/>
      <c r="HS12" s="22">
        <f ca="1">OFFSET(Gemini抽出データ!$A$1,HR8,3)</f>
        <v>0</v>
      </c>
      <c r="HT12" s="24"/>
      <c r="HU12" s="2" t="e">
        <f ca="1">OFFSET(Gemini抽出データ!$A$1,#REF!,3)</f>
        <v>#REF!</v>
      </c>
      <c r="HV12" s="3"/>
    </row>
    <row r="13" spans="1:230" ht="17.100000000000001" customHeight="1" x14ac:dyDescent="0.45">
      <c r="A13" s="10"/>
      <c r="B13" s="23"/>
      <c r="C13" s="23"/>
      <c r="D13" s="28" t="str">
        <f>"クラス"&amp;D$1</f>
        <v>クラス2</v>
      </c>
      <c r="E13" s="23"/>
      <c r="F13" s="24"/>
      <c r="G13" s="29" t="str">
        <f>"クラス"&amp;G$1</f>
        <v>クラス3</v>
      </c>
      <c r="H13" s="23"/>
      <c r="I13" s="23"/>
      <c r="J13" s="28" t="str">
        <f>"クラス"&amp;J$1</f>
        <v>クラス4</v>
      </c>
      <c r="K13" s="23"/>
      <c r="L13" s="24"/>
      <c r="M13" s="10"/>
      <c r="N13" s="23"/>
      <c r="O13" s="23"/>
      <c r="P13" s="28" t="str">
        <f>"クラス"&amp;P$1</f>
        <v>クラス30</v>
      </c>
      <c r="Q13" s="23"/>
      <c r="R13" s="24"/>
      <c r="S13" s="29" t="str">
        <f>"クラス"&amp;S$1</f>
        <v>クラス31</v>
      </c>
      <c r="T13" s="23"/>
      <c r="U13" s="23"/>
      <c r="V13" s="28" t="str">
        <f>"クラス"&amp;V$1</f>
        <v>クラス32</v>
      </c>
      <c r="W13" s="23"/>
      <c r="X13" s="24"/>
      <c r="Y13" s="10"/>
      <c r="Z13" s="23"/>
      <c r="AA13" s="23"/>
      <c r="AB13" s="28" t="str">
        <f>"クラス"&amp;AB$1</f>
        <v>クラス58</v>
      </c>
      <c r="AC13" s="23"/>
      <c r="AD13" s="24"/>
      <c r="AE13" s="29" t="str">
        <f>"クラス"&amp;AE$1</f>
        <v>クラス59</v>
      </c>
      <c r="AF13" s="23"/>
      <c r="AG13" s="23"/>
      <c r="AH13" s="28" t="str">
        <f>"クラス"&amp;AH$1</f>
        <v>クラス60</v>
      </c>
      <c r="AI13" s="23"/>
      <c r="AJ13" s="24"/>
      <c r="AK13" s="10"/>
      <c r="AL13" s="23"/>
      <c r="AM13" s="23"/>
      <c r="AN13" s="28" t="str">
        <f>"クラス"&amp;AN$1</f>
        <v>クラス86</v>
      </c>
      <c r="AO13" s="23"/>
      <c r="AP13" s="24"/>
      <c r="AQ13" s="29" t="str">
        <f>"クラス"&amp;AQ$1</f>
        <v>クラス87</v>
      </c>
      <c r="AR13" s="23"/>
      <c r="AS13" s="23"/>
      <c r="AT13" s="28" t="str">
        <f>"クラス"&amp;AT$1</f>
        <v>クラス88</v>
      </c>
      <c r="AU13" s="23"/>
      <c r="AV13" s="24"/>
      <c r="AW13" s="10"/>
      <c r="AX13" s="23"/>
      <c r="AY13" s="23"/>
      <c r="AZ13" s="28" t="str">
        <f>"クラス"&amp;AZ$1</f>
        <v>クラス114</v>
      </c>
      <c r="BA13" s="23"/>
      <c r="BB13" s="24"/>
      <c r="BC13" s="29" t="str">
        <f>"クラス"&amp;BC$1</f>
        <v>クラス115</v>
      </c>
      <c r="BD13" s="23"/>
      <c r="BE13" s="23"/>
      <c r="BF13" s="28" t="str">
        <f>"クラス"&amp;BF$1</f>
        <v>クラス116</v>
      </c>
      <c r="BG13" s="23"/>
      <c r="BH13" s="24"/>
      <c r="BI13" s="10"/>
      <c r="BJ13" s="23"/>
      <c r="BK13" s="23"/>
      <c r="BL13" s="28" t="str">
        <f>"クラス"&amp;BL$1</f>
        <v>クラス142</v>
      </c>
      <c r="BM13" s="23"/>
      <c r="BN13" s="24"/>
      <c r="BO13" s="29" t="str">
        <f>"クラス"&amp;BO$1</f>
        <v>クラス143</v>
      </c>
      <c r="BP13" s="23"/>
      <c r="BQ13" s="23"/>
      <c r="BR13" s="28" t="str">
        <f>"クラス"&amp;BR$1</f>
        <v>クラス144</v>
      </c>
      <c r="BS13" s="23"/>
      <c r="BT13" s="24"/>
      <c r="BU13" s="10"/>
      <c r="BV13" s="23"/>
      <c r="BW13" s="23"/>
      <c r="BX13" s="28" t="str">
        <f>"クラス"&amp;BX$1</f>
        <v>クラス170</v>
      </c>
      <c r="BY13" s="23"/>
      <c r="BZ13" s="24"/>
      <c r="CA13" s="29" t="str">
        <f>"クラス"&amp;CA$1</f>
        <v>クラス171</v>
      </c>
      <c r="CB13" s="23"/>
      <c r="CC13" s="23"/>
      <c r="CD13" s="28" t="str">
        <f>"クラス"&amp;CD$1</f>
        <v>クラス172</v>
      </c>
      <c r="CE13" s="23"/>
      <c r="CF13" s="24"/>
      <c r="CG13" s="10"/>
      <c r="CH13" s="23"/>
      <c r="CI13" s="23"/>
      <c r="CJ13" s="28" t="str">
        <f>"クラス"&amp;CJ$1</f>
        <v>クラス198</v>
      </c>
      <c r="CK13" s="23"/>
      <c r="CL13" s="24"/>
      <c r="CM13" s="29" t="str">
        <f>"クラス"&amp;CM$1</f>
        <v>クラス199</v>
      </c>
      <c r="CN13" s="23"/>
      <c r="CO13" s="23"/>
      <c r="CP13" s="28" t="str">
        <f>"クラス"&amp;CP$1</f>
        <v>クラス200</v>
      </c>
      <c r="CQ13" s="23"/>
      <c r="CR13" s="24"/>
      <c r="CS13" s="10"/>
      <c r="CT13" s="23"/>
      <c r="CU13" s="23"/>
      <c r="CV13" s="28" t="str">
        <f>"クラス"&amp;CV$1</f>
        <v>クラス226</v>
      </c>
      <c r="CW13" s="23"/>
      <c r="CX13" s="24"/>
      <c r="CY13" s="29" t="str">
        <f>"クラス"&amp;CY$1</f>
        <v>クラス227</v>
      </c>
      <c r="CZ13" s="23"/>
      <c r="DA13" s="23"/>
      <c r="DB13" s="28" t="str">
        <f>"クラス"&amp;DB$1</f>
        <v>クラス228</v>
      </c>
      <c r="DC13" s="23"/>
      <c r="DD13" s="24"/>
      <c r="DE13" s="10"/>
      <c r="DF13" s="23"/>
      <c r="DG13" s="23"/>
      <c r="DH13" s="28" t="str">
        <f>"クラス"&amp;DH$1</f>
        <v>クラス254</v>
      </c>
      <c r="DI13" s="23"/>
      <c r="DJ13" s="24"/>
      <c r="DK13" s="29" t="str">
        <f>"クラス"&amp;DK$1</f>
        <v>クラス255</v>
      </c>
      <c r="DL13" s="23"/>
      <c r="DM13" s="23"/>
      <c r="DN13" s="28" t="str">
        <f>"クラス"&amp;DN$1</f>
        <v>クラス256</v>
      </c>
      <c r="DO13" s="23"/>
      <c r="DP13" s="24"/>
      <c r="DQ13" s="10"/>
      <c r="DR13" s="23"/>
      <c r="DS13" s="23"/>
      <c r="DT13" s="28" t="str">
        <f>"クラス"&amp;DT$1</f>
        <v>クラス282</v>
      </c>
      <c r="DU13" s="23"/>
      <c r="DV13" s="24"/>
      <c r="DW13" s="29" t="str">
        <f>"クラス"&amp;DW$1</f>
        <v>クラス283</v>
      </c>
      <c r="DX13" s="23"/>
      <c r="DY13" s="23"/>
      <c r="DZ13" s="28" t="str">
        <f>"クラス"&amp;DZ$1</f>
        <v>クラス284</v>
      </c>
      <c r="EA13" s="23"/>
      <c r="EB13" s="24"/>
      <c r="EC13" s="10"/>
      <c r="ED13" s="23"/>
      <c r="EE13" s="23"/>
      <c r="EF13" s="28" t="str">
        <f>"クラス"&amp;EF$1</f>
        <v>クラス310</v>
      </c>
      <c r="EG13" s="23"/>
      <c r="EH13" s="24"/>
      <c r="EI13" s="29" t="str">
        <f>"クラス"&amp;EI$1</f>
        <v>クラス311</v>
      </c>
      <c r="EJ13" s="23"/>
      <c r="EK13" s="23"/>
      <c r="EL13" s="28" t="str">
        <f>"クラス"&amp;EL$1</f>
        <v>クラス312</v>
      </c>
      <c r="EM13" s="23"/>
      <c r="EN13" s="24"/>
      <c r="EO13" s="10"/>
      <c r="EP13" s="23"/>
      <c r="EQ13" s="23"/>
      <c r="ER13" s="28" t="str">
        <f>"クラス"&amp;ER$1</f>
        <v>クラス338</v>
      </c>
      <c r="ES13" s="23"/>
      <c r="ET13" s="24"/>
      <c r="EU13" s="29" t="str">
        <f>"クラス"&amp;EU$1</f>
        <v>クラス339</v>
      </c>
      <c r="EV13" s="23"/>
      <c r="EW13" s="23"/>
      <c r="EX13" s="28" t="str">
        <f>"クラス"&amp;EX$1</f>
        <v>クラス340</v>
      </c>
      <c r="EY13" s="23"/>
      <c r="EZ13" s="24"/>
      <c r="FA13" s="10"/>
      <c r="FB13" s="23"/>
      <c r="FC13" s="23"/>
      <c r="FD13" s="28" t="str">
        <f>"クラス"&amp;FD$1</f>
        <v>クラス366</v>
      </c>
      <c r="FE13" s="23"/>
      <c r="FF13" s="24"/>
      <c r="FG13" s="29" t="str">
        <f>"クラス"&amp;FG$1</f>
        <v>クラス367</v>
      </c>
      <c r="FH13" s="23"/>
      <c r="FI13" s="23"/>
      <c r="FJ13" s="28" t="str">
        <f>"クラス"&amp;FJ$1</f>
        <v>クラス368</v>
      </c>
      <c r="FK13" s="23"/>
      <c r="FL13" s="24"/>
      <c r="FM13" s="10"/>
      <c r="FN13" s="23"/>
      <c r="FO13" s="23"/>
      <c r="FP13" s="28" t="str">
        <f>"クラス"&amp;FP$1</f>
        <v>クラス394</v>
      </c>
      <c r="FQ13" s="23"/>
      <c r="FR13" s="24"/>
      <c r="FS13" s="29" t="str">
        <f>"クラス"&amp;FS$1</f>
        <v>クラス395</v>
      </c>
      <c r="FT13" s="23"/>
      <c r="FU13" s="23"/>
      <c r="FV13" s="28" t="str">
        <f>"クラス"&amp;FV$1</f>
        <v>クラス396</v>
      </c>
      <c r="FW13" s="23"/>
      <c r="FX13" s="24"/>
      <c r="FY13" s="10"/>
      <c r="FZ13" s="23"/>
      <c r="GA13" s="23"/>
      <c r="GB13" s="28" t="str">
        <f>"クラス"&amp;GB$1</f>
        <v>クラス422</v>
      </c>
      <c r="GC13" s="23"/>
      <c r="GD13" s="24"/>
      <c r="GE13" s="29" t="str">
        <f>"クラス"&amp;GE$1</f>
        <v>クラス423</v>
      </c>
      <c r="GF13" s="23"/>
      <c r="GG13" s="23"/>
      <c r="GH13" s="28" t="str">
        <f>"クラス"&amp;GH$1</f>
        <v>クラス424</v>
      </c>
      <c r="GI13" s="23"/>
      <c r="GJ13" s="24"/>
      <c r="GK13" s="10"/>
      <c r="GL13" s="23"/>
      <c r="GM13" s="23"/>
      <c r="GN13" s="28" t="str">
        <f>"クラス"&amp;GN$1</f>
        <v>クラス450</v>
      </c>
      <c r="GO13" s="23"/>
      <c r="GP13" s="24"/>
      <c r="GQ13" s="29" t="str">
        <f>"クラス"&amp;GQ$1</f>
        <v>クラス451</v>
      </c>
      <c r="GR13" s="23"/>
      <c r="GS13" s="23"/>
      <c r="GT13" s="28" t="str">
        <f>"クラス"&amp;GT$1</f>
        <v>クラス452</v>
      </c>
      <c r="GU13" s="23"/>
      <c r="GV13" s="24"/>
      <c r="GW13" s="10"/>
      <c r="GX13" s="23"/>
      <c r="GY13" s="23"/>
      <c r="GZ13" s="28" t="str">
        <f>"クラス"&amp;GZ$1</f>
        <v>クラス478</v>
      </c>
      <c r="HA13" s="23"/>
      <c r="HB13" s="24"/>
      <c r="HC13" s="29" t="str">
        <f>"クラス"&amp;HC$1</f>
        <v>クラス479</v>
      </c>
      <c r="HD13" s="23"/>
      <c r="HE13" s="23"/>
      <c r="HF13" s="28" t="str">
        <f>"クラス"&amp;HF$1</f>
        <v>クラス480</v>
      </c>
      <c r="HG13" s="23"/>
      <c r="HH13" s="24"/>
      <c r="HI13" s="10"/>
      <c r="HJ13" s="23"/>
      <c r="HK13" s="23"/>
      <c r="HL13" s="28" t="str">
        <f>"クラス"&amp;HL$1</f>
        <v>クラス506</v>
      </c>
      <c r="HM13" s="23"/>
      <c r="HN13" s="24"/>
      <c r="HO13" s="29" t="str">
        <f>"クラス"&amp;HO$1</f>
        <v>クラス507</v>
      </c>
      <c r="HP13" s="23"/>
      <c r="HQ13" s="23"/>
      <c r="HR13" s="28" t="str">
        <f>"クラス"&amp;HR$1</f>
        <v>クラス508</v>
      </c>
      <c r="HS13" s="23"/>
      <c r="HT13" s="24"/>
      <c r="HU13" s="3"/>
      <c r="HV13" s="3"/>
    </row>
    <row r="14" spans="1:230" ht="17.100000000000001" customHeight="1" x14ac:dyDescent="0.45">
      <c r="A14" s="16" t="str">
        <f>"クラス"&amp;A$1</f>
        <v>クラス1</v>
      </c>
      <c r="B14" s="17">
        <f ca="1">OFFSET(Gemini抽出データ!$A$1,A8,4)</f>
        <v>0</v>
      </c>
      <c r="C14" s="17" t="str">
        <f ca="1">IF(OFFSET(Gemini抽出データ!$A$1,A8,5)=0,"",OFFSET(Gemini抽出データ!$A$1,A8,5))</f>
        <v/>
      </c>
      <c r="D14" s="16" t="str">
        <f>A14</f>
        <v>クラス1</v>
      </c>
      <c r="E14" s="17">
        <f ca="1">OFFSET(Gemini抽出データ!$A$1,D8,4)</f>
        <v>0</v>
      </c>
      <c r="F14" s="18" t="str">
        <f ca="1">IF(OFFSET(Gemini抽出データ!$A$1,D8,5)=0,"",OFFSET(Gemini抽出データ!$A$1,D8,5))</f>
        <v/>
      </c>
      <c r="G14" s="19" t="str">
        <f>A14</f>
        <v>クラス1</v>
      </c>
      <c r="H14" s="17">
        <f ca="1">OFFSET(Gemini抽出データ!$A$1,G8,4)</f>
        <v>0</v>
      </c>
      <c r="I14" s="17" t="str">
        <f ca="1">IF(OFFSET(Gemini抽出データ!$A$1,G8,5)=0,"",OFFSET(Gemini抽出データ!$A$1,G8,5))</f>
        <v/>
      </c>
      <c r="J14" s="16" t="str">
        <f>G14</f>
        <v>クラス1</v>
      </c>
      <c r="K14" s="17">
        <f ca="1">OFFSET(Gemini抽出データ!$A$1,J8,4)</f>
        <v>0</v>
      </c>
      <c r="L14" s="18" t="str">
        <f ca="1">IF(OFFSET(Gemini抽出データ!$A$1,J8,5)=0,"",OFFSET(Gemini抽出データ!$A$1,J8,5))</f>
        <v/>
      </c>
      <c r="M14" s="16" t="str">
        <f>"クラス"&amp;M$1</f>
        <v>クラス29</v>
      </c>
      <c r="N14" s="17">
        <f ca="1">OFFSET(Gemini抽出データ!$A$1,M8,4)</f>
        <v>0</v>
      </c>
      <c r="O14" s="17" t="str">
        <f ca="1">IF(OFFSET(Gemini抽出データ!$A$1,M8,5)=0,"",OFFSET(Gemini抽出データ!$A$1,M8,5))</f>
        <v/>
      </c>
      <c r="P14" s="16" t="str">
        <f>M14</f>
        <v>クラス29</v>
      </c>
      <c r="Q14" s="17">
        <f ca="1">OFFSET(Gemini抽出データ!$A$1,P8,4)</f>
        <v>0</v>
      </c>
      <c r="R14" s="18" t="str">
        <f ca="1">IF(OFFSET(Gemini抽出データ!$A$1,P8,5)=0,"",OFFSET(Gemini抽出データ!$A$1,P8,5))</f>
        <v/>
      </c>
      <c r="S14" s="19" t="str">
        <f>M14</f>
        <v>クラス29</v>
      </c>
      <c r="T14" s="17">
        <f ca="1">OFFSET(Gemini抽出データ!$A$1,S8,4)</f>
        <v>0</v>
      </c>
      <c r="U14" s="17" t="str">
        <f ca="1">IF(OFFSET(Gemini抽出データ!$A$1,S8,5)=0,"",OFFSET(Gemini抽出データ!$A$1,S8,5))</f>
        <v/>
      </c>
      <c r="V14" s="16" t="str">
        <f>S14</f>
        <v>クラス29</v>
      </c>
      <c r="W14" s="17">
        <f ca="1">OFFSET(Gemini抽出データ!$A$1,V8,4)</f>
        <v>0</v>
      </c>
      <c r="X14" s="18" t="str">
        <f ca="1">IF(OFFSET(Gemini抽出データ!$A$1,V8,5)=0,"",OFFSET(Gemini抽出データ!$A$1,V8,5))</f>
        <v/>
      </c>
      <c r="Y14" s="16" t="str">
        <f>"クラス"&amp;Y$1</f>
        <v>クラス57</v>
      </c>
      <c r="Z14" s="17">
        <f ca="1">OFFSET(Gemini抽出データ!$A$1,Y8,4)</f>
        <v>0</v>
      </c>
      <c r="AA14" s="17" t="str">
        <f ca="1">IF(OFFSET(Gemini抽出データ!$A$1,Y8,5)=0,"",OFFSET(Gemini抽出データ!$A$1,Y8,5))</f>
        <v/>
      </c>
      <c r="AB14" s="16" t="str">
        <f>Y14</f>
        <v>クラス57</v>
      </c>
      <c r="AC14" s="17">
        <f ca="1">OFFSET(Gemini抽出データ!$A$1,AB8,4)</f>
        <v>0</v>
      </c>
      <c r="AD14" s="18" t="str">
        <f ca="1">IF(OFFSET(Gemini抽出データ!$A$1,AB8,5)=0,"",OFFSET(Gemini抽出データ!$A$1,AB8,5))</f>
        <v/>
      </c>
      <c r="AE14" s="19" t="str">
        <f>Y14</f>
        <v>クラス57</v>
      </c>
      <c r="AF14" s="17">
        <f ca="1">OFFSET(Gemini抽出データ!$A$1,AE8,4)</f>
        <v>0</v>
      </c>
      <c r="AG14" s="17" t="str">
        <f ca="1">IF(OFFSET(Gemini抽出データ!$A$1,AE8,5)=0,"",OFFSET(Gemini抽出データ!$A$1,AE8,5))</f>
        <v/>
      </c>
      <c r="AH14" s="16" t="str">
        <f>AE14</f>
        <v>クラス57</v>
      </c>
      <c r="AI14" s="17">
        <f ca="1">OFFSET(Gemini抽出データ!$A$1,AH8,4)</f>
        <v>0</v>
      </c>
      <c r="AJ14" s="18" t="str">
        <f ca="1">IF(OFFSET(Gemini抽出データ!$A$1,AH8,5)=0,"",OFFSET(Gemini抽出データ!$A$1,AH8,5))</f>
        <v/>
      </c>
      <c r="AK14" s="16" t="str">
        <f>"クラス"&amp;AK$1</f>
        <v>クラス85</v>
      </c>
      <c r="AL14" s="17">
        <f ca="1">OFFSET(Gemini抽出データ!$A$1,AK8,4)</f>
        <v>0</v>
      </c>
      <c r="AM14" s="17" t="str">
        <f ca="1">IF(OFFSET(Gemini抽出データ!$A$1,AK8,5)=0,"",OFFSET(Gemini抽出データ!$A$1,AK8,5))</f>
        <v/>
      </c>
      <c r="AN14" s="16" t="str">
        <f>AK14</f>
        <v>クラス85</v>
      </c>
      <c r="AO14" s="17">
        <f ca="1">OFFSET(Gemini抽出データ!$A$1,AN8,4)</f>
        <v>0</v>
      </c>
      <c r="AP14" s="18" t="str">
        <f ca="1">IF(OFFSET(Gemini抽出データ!$A$1,AN8,5)=0,"",OFFSET(Gemini抽出データ!$A$1,AN8,5))</f>
        <v/>
      </c>
      <c r="AQ14" s="19" t="str">
        <f>AK14</f>
        <v>クラス85</v>
      </c>
      <c r="AR14" s="17">
        <f ca="1">OFFSET(Gemini抽出データ!$A$1,AQ8,4)</f>
        <v>0</v>
      </c>
      <c r="AS14" s="17" t="str">
        <f ca="1">IF(OFFSET(Gemini抽出データ!$A$1,AQ8,5)=0,"",OFFSET(Gemini抽出データ!$A$1,AQ8,5))</f>
        <v/>
      </c>
      <c r="AT14" s="16" t="str">
        <f>AQ14</f>
        <v>クラス85</v>
      </c>
      <c r="AU14" s="17">
        <f ca="1">OFFSET(Gemini抽出データ!$A$1,AT8,4)</f>
        <v>0</v>
      </c>
      <c r="AV14" s="18" t="str">
        <f ca="1">IF(OFFSET(Gemini抽出データ!$A$1,AT8,5)=0,"",OFFSET(Gemini抽出データ!$A$1,AT8,5))</f>
        <v/>
      </c>
      <c r="AW14" s="16" t="str">
        <f>"クラス"&amp;AW$1</f>
        <v>クラス113</v>
      </c>
      <c r="AX14" s="17">
        <f ca="1">OFFSET(Gemini抽出データ!$A$1,AW8,4)</f>
        <v>0</v>
      </c>
      <c r="AY14" s="17" t="str">
        <f ca="1">IF(OFFSET(Gemini抽出データ!$A$1,AW8,5)=0,"",OFFSET(Gemini抽出データ!$A$1,AW8,5))</f>
        <v/>
      </c>
      <c r="AZ14" s="16" t="str">
        <f>AW14</f>
        <v>クラス113</v>
      </c>
      <c r="BA14" s="17">
        <f ca="1">OFFSET(Gemini抽出データ!$A$1,AZ8,4)</f>
        <v>0</v>
      </c>
      <c r="BB14" s="18" t="str">
        <f ca="1">IF(OFFSET(Gemini抽出データ!$A$1,AZ8,5)=0,"",OFFSET(Gemini抽出データ!$A$1,AZ8,5))</f>
        <v/>
      </c>
      <c r="BC14" s="19" t="str">
        <f>AW14</f>
        <v>クラス113</v>
      </c>
      <c r="BD14" s="17">
        <f ca="1">OFFSET(Gemini抽出データ!$A$1,BC8,4)</f>
        <v>0</v>
      </c>
      <c r="BE14" s="17" t="str">
        <f ca="1">IF(OFFSET(Gemini抽出データ!$A$1,BC8,5)=0,"",OFFSET(Gemini抽出データ!$A$1,BC8,5))</f>
        <v/>
      </c>
      <c r="BF14" s="16" t="str">
        <f>BC14</f>
        <v>クラス113</v>
      </c>
      <c r="BG14" s="17">
        <f ca="1">OFFSET(Gemini抽出データ!$A$1,BF8,4)</f>
        <v>0</v>
      </c>
      <c r="BH14" s="18" t="str">
        <f ca="1">IF(OFFSET(Gemini抽出データ!$A$1,BF8,5)=0,"",OFFSET(Gemini抽出データ!$A$1,BF8,5))</f>
        <v/>
      </c>
      <c r="BI14" s="16" t="str">
        <f>"クラス"&amp;BI$1</f>
        <v>クラス141</v>
      </c>
      <c r="BJ14" s="17">
        <f ca="1">OFFSET(Gemini抽出データ!$A$1,BI8,4)</f>
        <v>0</v>
      </c>
      <c r="BK14" s="17" t="str">
        <f ca="1">IF(OFFSET(Gemini抽出データ!$A$1,BI8,5)=0,"",OFFSET(Gemini抽出データ!$A$1,BI8,5))</f>
        <v/>
      </c>
      <c r="BL14" s="16" t="str">
        <f>BI14</f>
        <v>クラス141</v>
      </c>
      <c r="BM14" s="17">
        <f ca="1">OFFSET(Gemini抽出データ!$A$1,BL8,4)</f>
        <v>0</v>
      </c>
      <c r="BN14" s="18" t="str">
        <f ca="1">IF(OFFSET(Gemini抽出データ!$A$1,BL8,5)=0,"",OFFSET(Gemini抽出データ!$A$1,BL8,5))</f>
        <v/>
      </c>
      <c r="BO14" s="19" t="str">
        <f>BI14</f>
        <v>クラス141</v>
      </c>
      <c r="BP14" s="17">
        <f ca="1">OFFSET(Gemini抽出データ!$A$1,BO8,4)</f>
        <v>0</v>
      </c>
      <c r="BQ14" s="17" t="str">
        <f ca="1">IF(OFFSET(Gemini抽出データ!$A$1,BO8,5)=0,"",OFFSET(Gemini抽出データ!$A$1,BO8,5))</f>
        <v/>
      </c>
      <c r="BR14" s="16" t="str">
        <f>BO14</f>
        <v>クラス141</v>
      </c>
      <c r="BS14" s="17">
        <f ca="1">OFFSET(Gemini抽出データ!$A$1,BR8,4)</f>
        <v>0</v>
      </c>
      <c r="BT14" s="18" t="str">
        <f ca="1">IF(OFFSET(Gemini抽出データ!$A$1,BR8,5)=0,"",OFFSET(Gemini抽出データ!$A$1,BR8,5))</f>
        <v/>
      </c>
      <c r="BU14" s="16" t="str">
        <f>"クラス"&amp;BU$1</f>
        <v>クラス169</v>
      </c>
      <c r="BV14" s="17">
        <f ca="1">OFFSET(Gemini抽出データ!$A$1,BU8,4)</f>
        <v>0</v>
      </c>
      <c r="BW14" s="17" t="str">
        <f ca="1">IF(OFFSET(Gemini抽出データ!$A$1,BU8,5)=0,"",OFFSET(Gemini抽出データ!$A$1,BU8,5))</f>
        <v/>
      </c>
      <c r="BX14" s="16" t="str">
        <f>BU14</f>
        <v>クラス169</v>
      </c>
      <c r="BY14" s="17">
        <f ca="1">OFFSET(Gemini抽出データ!$A$1,BX8,4)</f>
        <v>0</v>
      </c>
      <c r="BZ14" s="18" t="str">
        <f ca="1">IF(OFFSET(Gemini抽出データ!$A$1,BX8,5)=0,"",OFFSET(Gemini抽出データ!$A$1,BX8,5))</f>
        <v/>
      </c>
      <c r="CA14" s="19" t="str">
        <f>BU14</f>
        <v>クラス169</v>
      </c>
      <c r="CB14" s="17">
        <f ca="1">OFFSET(Gemini抽出データ!$A$1,CA8,4)</f>
        <v>0</v>
      </c>
      <c r="CC14" s="17" t="str">
        <f ca="1">IF(OFFSET(Gemini抽出データ!$A$1,CA8,5)=0,"",OFFSET(Gemini抽出データ!$A$1,CA8,5))</f>
        <v/>
      </c>
      <c r="CD14" s="16" t="str">
        <f>CA14</f>
        <v>クラス169</v>
      </c>
      <c r="CE14" s="17">
        <f ca="1">OFFSET(Gemini抽出データ!$A$1,CD8,4)</f>
        <v>0</v>
      </c>
      <c r="CF14" s="18" t="str">
        <f ca="1">IF(OFFSET(Gemini抽出データ!$A$1,CD8,5)=0,"",OFFSET(Gemini抽出データ!$A$1,CD8,5))</f>
        <v/>
      </c>
      <c r="CG14" s="16" t="str">
        <f>"クラス"&amp;CG$1</f>
        <v>クラス197</v>
      </c>
      <c r="CH14" s="17">
        <f ca="1">OFFSET(Gemini抽出データ!$A$1,CG8,4)</f>
        <v>0</v>
      </c>
      <c r="CI14" s="17" t="str">
        <f ca="1">IF(OFFSET(Gemini抽出データ!$A$1,CG8,5)=0,"",OFFSET(Gemini抽出データ!$A$1,CG8,5))</f>
        <v/>
      </c>
      <c r="CJ14" s="16" t="str">
        <f>CG14</f>
        <v>クラス197</v>
      </c>
      <c r="CK14" s="17">
        <f ca="1">OFFSET(Gemini抽出データ!$A$1,CJ8,4)</f>
        <v>0</v>
      </c>
      <c r="CL14" s="18" t="str">
        <f ca="1">IF(OFFSET(Gemini抽出データ!$A$1,CJ8,5)=0,"",OFFSET(Gemini抽出データ!$A$1,CJ8,5))</f>
        <v/>
      </c>
      <c r="CM14" s="19" t="str">
        <f>CG14</f>
        <v>クラス197</v>
      </c>
      <c r="CN14" s="17">
        <f ca="1">OFFSET(Gemini抽出データ!$A$1,CM8,4)</f>
        <v>0</v>
      </c>
      <c r="CO14" s="17" t="str">
        <f ca="1">IF(OFFSET(Gemini抽出データ!$A$1,CM8,5)=0,"",OFFSET(Gemini抽出データ!$A$1,CM8,5))</f>
        <v/>
      </c>
      <c r="CP14" s="16" t="str">
        <f>CM14</f>
        <v>クラス197</v>
      </c>
      <c r="CQ14" s="17">
        <f ca="1">OFFSET(Gemini抽出データ!$A$1,CP8,4)</f>
        <v>0</v>
      </c>
      <c r="CR14" s="18" t="str">
        <f ca="1">IF(OFFSET(Gemini抽出データ!$A$1,CP8,5)=0,"",OFFSET(Gemini抽出データ!$A$1,CP8,5))</f>
        <v/>
      </c>
      <c r="CS14" s="16" t="str">
        <f>"クラス"&amp;CS$1</f>
        <v>クラス225</v>
      </c>
      <c r="CT14" s="17">
        <f ca="1">OFFSET(Gemini抽出データ!$A$1,CS8,4)</f>
        <v>0</v>
      </c>
      <c r="CU14" s="17" t="str">
        <f ca="1">IF(OFFSET(Gemini抽出データ!$A$1,CS8,5)=0,"",OFFSET(Gemini抽出データ!$A$1,CS8,5))</f>
        <v/>
      </c>
      <c r="CV14" s="16" t="str">
        <f>CS14</f>
        <v>クラス225</v>
      </c>
      <c r="CW14" s="17">
        <f ca="1">OFFSET(Gemini抽出データ!$A$1,CV8,4)</f>
        <v>0</v>
      </c>
      <c r="CX14" s="18" t="str">
        <f ca="1">IF(OFFSET(Gemini抽出データ!$A$1,CV8,5)=0,"",OFFSET(Gemini抽出データ!$A$1,CV8,5))</f>
        <v/>
      </c>
      <c r="CY14" s="19" t="str">
        <f>CS14</f>
        <v>クラス225</v>
      </c>
      <c r="CZ14" s="17">
        <f ca="1">OFFSET(Gemini抽出データ!$A$1,CY8,4)</f>
        <v>0</v>
      </c>
      <c r="DA14" s="17" t="str">
        <f ca="1">IF(OFFSET(Gemini抽出データ!$A$1,CY8,5)=0,"",OFFSET(Gemini抽出データ!$A$1,CY8,5))</f>
        <v/>
      </c>
      <c r="DB14" s="16" t="str">
        <f>CY14</f>
        <v>クラス225</v>
      </c>
      <c r="DC14" s="17">
        <f ca="1">OFFSET(Gemini抽出データ!$A$1,DB8,4)</f>
        <v>0</v>
      </c>
      <c r="DD14" s="18" t="str">
        <f ca="1">IF(OFFSET(Gemini抽出データ!$A$1,DB8,5)=0,"",OFFSET(Gemini抽出データ!$A$1,DB8,5))</f>
        <v/>
      </c>
      <c r="DE14" s="16" t="str">
        <f>"クラス"&amp;DE$1</f>
        <v>クラス253</v>
      </c>
      <c r="DF14" s="17">
        <f ca="1">OFFSET(Gemini抽出データ!$A$1,DE8,4)</f>
        <v>0</v>
      </c>
      <c r="DG14" s="17" t="str">
        <f ca="1">IF(OFFSET(Gemini抽出データ!$A$1,DE8,5)=0,"",OFFSET(Gemini抽出データ!$A$1,DE8,5))</f>
        <v/>
      </c>
      <c r="DH14" s="16" t="str">
        <f>DE14</f>
        <v>クラス253</v>
      </c>
      <c r="DI14" s="17">
        <f ca="1">OFFSET(Gemini抽出データ!$A$1,DH8,4)</f>
        <v>0</v>
      </c>
      <c r="DJ14" s="18" t="str">
        <f ca="1">IF(OFFSET(Gemini抽出データ!$A$1,DH8,5)=0,"",OFFSET(Gemini抽出データ!$A$1,DH8,5))</f>
        <v/>
      </c>
      <c r="DK14" s="19" t="str">
        <f>DE14</f>
        <v>クラス253</v>
      </c>
      <c r="DL14" s="17">
        <f ca="1">OFFSET(Gemini抽出データ!$A$1,DK8,4)</f>
        <v>0</v>
      </c>
      <c r="DM14" s="17" t="str">
        <f ca="1">IF(OFFSET(Gemini抽出データ!$A$1,DK8,5)=0,"",OFFSET(Gemini抽出データ!$A$1,DK8,5))</f>
        <v/>
      </c>
      <c r="DN14" s="16" t="str">
        <f>DK14</f>
        <v>クラス253</v>
      </c>
      <c r="DO14" s="17">
        <f ca="1">OFFSET(Gemini抽出データ!$A$1,DN8,4)</f>
        <v>0</v>
      </c>
      <c r="DP14" s="18" t="str">
        <f ca="1">IF(OFFSET(Gemini抽出データ!$A$1,DN8,5)=0,"",OFFSET(Gemini抽出データ!$A$1,DN8,5))</f>
        <v/>
      </c>
      <c r="DQ14" s="16" t="str">
        <f>"クラス"&amp;DQ$1</f>
        <v>クラス281</v>
      </c>
      <c r="DR14" s="17">
        <f ca="1">OFFSET(Gemini抽出データ!$A$1,DQ8,4)</f>
        <v>0</v>
      </c>
      <c r="DS14" s="17" t="str">
        <f ca="1">IF(OFFSET(Gemini抽出データ!$A$1,DQ8,5)=0,"",OFFSET(Gemini抽出データ!$A$1,DQ8,5))</f>
        <v/>
      </c>
      <c r="DT14" s="16" t="str">
        <f>DQ14</f>
        <v>クラス281</v>
      </c>
      <c r="DU14" s="17">
        <f ca="1">OFFSET(Gemini抽出データ!$A$1,DT8,4)</f>
        <v>0</v>
      </c>
      <c r="DV14" s="18" t="str">
        <f ca="1">IF(OFFSET(Gemini抽出データ!$A$1,DT8,5)=0,"",OFFSET(Gemini抽出データ!$A$1,DT8,5))</f>
        <v/>
      </c>
      <c r="DW14" s="19" t="str">
        <f>DQ14</f>
        <v>クラス281</v>
      </c>
      <c r="DX14" s="17">
        <f ca="1">OFFSET(Gemini抽出データ!$A$1,DW8,4)</f>
        <v>0</v>
      </c>
      <c r="DY14" s="17" t="str">
        <f ca="1">IF(OFFSET(Gemini抽出データ!$A$1,DW8,5)=0,"",OFFSET(Gemini抽出データ!$A$1,DW8,5))</f>
        <v/>
      </c>
      <c r="DZ14" s="16" t="str">
        <f>DW14</f>
        <v>クラス281</v>
      </c>
      <c r="EA14" s="17">
        <f ca="1">OFFSET(Gemini抽出データ!$A$1,DZ8,4)</f>
        <v>0</v>
      </c>
      <c r="EB14" s="18" t="str">
        <f ca="1">IF(OFFSET(Gemini抽出データ!$A$1,DZ8,5)=0,"",OFFSET(Gemini抽出データ!$A$1,DZ8,5))</f>
        <v/>
      </c>
      <c r="EC14" s="16" t="str">
        <f>"クラス"&amp;EC$1</f>
        <v>クラス309</v>
      </c>
      <c r="ED14" s="17">
        <f ca="1">OFFSET(Gemini抽出データ!$A$1,EC8,4)</f>
        <v>0</v>
      </c>
      <c r="EE14" s="17" t="str">
        <f ca="1">IF(OFFSET(Gemini抽出データ!$A$1,EC8,5)=0,"",OFFSET(Gemini抽出データ!$A$1,EC8,5))</f>
        <v/>
      </c>
      <c r="EF14" s="16" t="str">
        <f>EC14</f>
        <v>クラス309</v>
      </c>
      <c r="EG14" s="17">
        <f ca="1">OFFSET(Gemini抽出データ!$A$1,EF8,4)</f>
        <v>0</v>
      </c>
      <c r="EH14" s="18" t="str">
        <f ca="1">IF(OFFSET(Gemini抽出データ!$A$1,EF8,5)=0,"",OFFSET(Gemini抽出データ!$A$1,EF8,5))</f>
        <v/>
      </c>
      <c r="EI14" s="19" t="str">
        <f>EC14</f>
        <v>クラス309</v>
      </c>
      <c r="EJ14" s="17">
        <f ca="1">OFFSET(Gemini抽出データ!$A$1,EI8,4)</f>
        <v>0</v>
      </c>
      <c r="EK14" s="17" t="str">
        <f ca="1">IF(OFFSET(Gemini抽出データ!$A$1,EI8,5)=0,"",OFFSET(Gemini抽出データ!$A$1,EI8,5))</f>
        <v/>
      </c>
      <c r="EL14" s="16" t="str">
        <f>EI14</f>
        <v>クラス309</v>
      </c>
      <c r="EM14" s="17">
        <f ca="1">OFFSET(Gemini抽出データ!$A$1,EL8,4)</f>
        <v>0</v>
      </c>
      <c r="EN14" s="18" t="str">
        <f ca="1">IF(OFFSET(Gemini抽出データ!$A$1,EL8,5)=0,"",OFFSET(Gemini抽出データ!$A$1,EL8,5))</f>
        <v/>
      </c>
      <c r="EO14" s="16" t="str">
        <f>"クラス"&amp;EO$1</f>
        <v>クラス337</v>
      </c>
      <c r="EP14" s="17">
        <f ca="1">OFFSET(Gemini抽出データ!$A$1,EO8,4)</f>
        <v>0</v>
      </c>
      <c r="EQ14" s="17" t="str">
        <f ca="1">IF(OFFSET(Gemini抽出データ!$A$1,EO8,5)=0,"",OFFSET(Gemini抽出データ!$A$1,EO8,5))</f>
        <v/>
      </c>
      <c r="ER14" s="16" t="str">
        <f>EO14</f>
        <v>クラス337</v>
      </c>
      <c r="ES14" s="17">
        <f ca="1">OFFSET(Gemini抽出データ!$A$1,ER8,4)</f>
        <v>0</v>
      </c>
      <c r="ET14" s="18" t="str">
        <f ca="1">IF(OFFSET(Gemini抽出データ!$A$1,ER8,5)=0,"",OFFSET(Gemini抽出データ!$A$1,ER8,5))</f>
        <v/>
      </c>
      <c r="EU14" s="19" t="str">
        <f>EO14</f>
        <v>クラス337</v>
      </c>
      <c r="EV14" s="17">
        <f ca="1">OFFSET(Gemini抽出データ!$A$1,EU8,4)</f>
        <v>0</v>
      </c>
      <c r="EW14" s="17" t="str">
        <f ca="1">IF(OFFSET(Gemini抽出データ!$A$1,EU8,5)=0,"",OFFSET(Gemini抽出データ!$A$1,EU8,5))</f>
        <v/>
      </c>
      <c r="EX14" s="16" t="str">
        <f>EU14</f>
        <v>クラス337</v>
      </c>
      <c r="EY14" s="17">
        <f ca="1">OFFSET(Gemini抽出データ!$A$1,EX8,4)</f>
        <v>0</v>
      </c>
      <c r="EZ14" s="18" t="str">
        <f ca="1">IF(OFFSET(Gemini抽出データ!$A$1,EX8,5)=0,"",OFFSET(Gemini抽出データ!$A$1,EX8,5))</f>
        <v/>
      </c>
      <c r="FA14" s="16" t="str">
        <f>"クラス"&amp;FA$1</f>
        <v>クラス365</v>
      </c>
      <c r="FB14" s="17">
        <f ca="1">OFFSET(Gemini抽出データ!$A$1,FA8,4)</f>
        <v>0</v>
      </c>
      <c r="FC14" s="17" t="str">
        <f ca="1">IF(OFFSET(Gemini抽出データ!$A$1,FA8,5)=0,"",OFFSET(Gemini抽出データ!$A$1,FA8,5))</f>
        <v/>
      </c>
      <c r="FD14" s="16" t="str">
        <f>FA14</f>
        <v>クラス365</v>
      </c>
      <c r="FE14" s="17">
        <f ca="1">OFFSET(Gemini抽出データ!$A$1,FD8,4)</f>
        <v>0</v>
      </c>
      <c r="FF14" s="18" t="str">
        <f ca="1">IF(OFFSET(Gemini抽出データ!$A$1,FD8,5)=0,"",OFFSET(Gemini抽出データ!$A$1,FD8,5))</f>
        <v/>
      </c>
      <c r="FG14" s="19" t="str">
        <f>FA14</f>
        <v>クラス365</v>
      </c>
      <c r="FH14" s="17">
        <f ca="1">OFFSET(Gemini抽出データ!$A$1,FG8,4)</f>
        <v>0</v>
      </c>
      <c r="FI14" s="17" t="str">
        <f ca="1">IF(OFFSET(Gemini抽出データ!$A$1,FG8,5)=0,"",OFFSET(Gemini抽出データ!$A$1,FG8,5))</f>
        <v/>
      </c>
      <c r="FJ14" s="16" t="str">
        <f>FG14</f>
        <v>クラス365</v>
      </c>
      <c r="FK14" s="17">
        <f ca="1">OFFSET(Gemini抽出データ!$A$1,FJ8,4)</f>
        <v>0</v>
      </c>
      <c r="FL14" s="18" t="str">
        <f ca="1">IF(OFFSET(Gemini抽出データ!$A$1,FJ8,5)=0,"",OFFSET(Gemini抽出データ!$A$1,FJ8,5))</f>
        <v/>
      </c>
      <c r="FM14" s="16" t="str">
        <f>"クラス"&amp;FM$1</f>
        <v>クラス393</v>
      </c>
      <c r="FN14" s="17">
        <f ca="1">OFFSET(Gemini抽出データ!$A$1,FM8,4)</f>
        <v>0</v>
      </c>
      <c r="FO14" s="17" t="str">
        <f ca="1">IF(OFFSET(Gemini抽出データ!$A$1,FM8,5)=0,"",OFFSET(Gemini抽出データ!$A$1,FM8,5))</f>
        <v/>
      </c>
      <c r="FP14" s="16" t="str">
        <f>FM14</f>
        <v>クラス393</v>
      </c>
      <c r="FQ14" s="17">
        <f ca="1">OFFSET(Gemini抽出データ!$A$1,FP8,4)</f>
        <v>0</v>
      </c>
      <c r="FR14" s="18" t="str">
        <f ca="1">IF(OFFSET(Gemini抽出データ!$A$1,FP8,5)=0,"",OFFSET(Gemini抽出データ!$A$1,FP8,5))</f>
        <v/>
      </c>
      <c r="FS14" s="19" t="str">
        <f>FM14</f>
        <v>クラス393</v>
      </c>
      <c r="FT14" s="17">
        <f ca="1">OFFSET(Gemini抽出データ!$A$1,FS8,4)</f>
        <v>0</v>
      </c>
      <c r="FU14" s="17" t="str">
        <f ca="1">IF(OFFSET(Gemini抽出データ!$A$1,FS8,5)=0,"",OFFSET(Gemini抽出データ!$A$1,FS8,5))</f>
        <v/>
      </c>
      <c r="FV14" s="16" t="str">
        <f>FS14</f>
        <v>クラス393</v>
      </c>
      <c r="FW14" s="17">
        <f ca="1">OFFSET(Gemini抽出データ!$A$1,FV8,4)</f>
        <v>0</v>
      </c>
      <c r="FX14" s="18" t="str">
        <f ca="1">IF(OFFSET(Gemini抽出データ!$A$1,FV8,5)=0,"",OFFSET(Gemini抽出データ!$A$1,FV8,5))</f>
        <v/>
      </c>
      <c r="FY14" s="16" t="str">
        <f>"クラス"&amp;FY$1</f>
        <v>クラス421</v>
      </c>
      <c r="FZ14" s="17">
        <f ca="1">OFFSET(Gemini抽出データ!$A$1,FY8,4)</f>
        <v>0</v>
      </c>
      <c r="GA14" s="17" t="str">
        <f ca="1">IF(OFFSET(Gemini抽出データ!$A$1,FY8,5)=0,"",OFFSET(Gemini抽出データ!$A$1,FY8,5))</f>
        <v/>
      </c>
      <c r="GB14" s="16" t="str">
        <f>FY14</f>
        <v>クラス421</v>
      </c>
      <c r="GC14" s="17">
        <f ca="1">OFFSET(Gemini抽出データ!$A$1,GB8,4)</f>
        <v>0</v>
      </c>
      <c r="GD14" s="18" t="str">
        <f ca="1">IF(OFFSET(Gemini抽出データ!$A$1,GB8,5)=0,"",OFFSET(Gemini抽出データ!$A$1,GB8,5))</f>
        <v/>
      </c>
      <c r="GE14" s="19" t="str">
        <f>FY14</f>
        <v>クラス421</v>
      </c>
      <c r="GF14" s="17">
        <f ca="1">OFFSET(Gemini抽出データ!$A$1,GE8,4)</f>
        <v>0</v>
      </c>
      <c r="GG14" s="17" t="str">
        <f ca="1">IF(OFFSET(Gemini抽出データ!$A$1,GE8,5)=0,"",OFFSET(Gemini抽出データ!$A$1,GE8,5))</f>
        <v/>
      </c>
      <c r="GH14" s="16" t="str">
        <f>GE14</f>
        <v>クラス421</v>
      </c>
      <c r="GI14" s="17">
        <f ca="1">OFFSET(Gemini抽出データ!$A$1,GH8,4)</f>
        <v>0</v>
      </c>
      <c r="GJ14" s="18" t="str">
        <f ca="1">IF(OFFSET(Gemini抽出データ!$A$1,GH8,5)=0,"",OFFSET(Gemini抽出データ!$A$1,GH8,5))</f>
        <v/>
      </c>
      <c r="GK14" s="16" t="str">
        <f>"クラス"&amp;GK$1</f>
        <v>クラス449</v>
      </c>
      <c r="GL14" s="17">
        <f ca="1">OFFSET(Gemini抽出データ!$A$1,GK8,4)</f>
        <v>0</v>
      </c>
      <c r="GM14" s="17" t="str">
        <f ca="1">IF(OFFSET(Gemini抽出データ!$A$1,GK8,5)=0,"",OFFSET(Gemini抽出データ!$A$1,GK8,5))</f>
        <v/>
      </c>
      <c r="GN14" s="16" t="str">
        <f>GK14</f>
        <v>クラス449</v>
      </c>
      <c r="GO14" s="17">
        <f ca="1">OFFSET(Gemini抽出データ!$A$1,GN8,4)</f>
        <v>0</v>
      </c>
      <c r="GP14" s="18" t="str">
        <f ca="1">IF(OFFSET(Gemini抽出データ!$A$1,GN8,5)=0,"",OFFSET(Gemini抽出データ!$A$1,GN8,5))</f>
        <v/>
      </c>
      <c r="GQ14" s="19" t="str">
        <f>GK14</f>
        <v>クラス449</v>
      </c>
      <c r="GR14" s="17">
        <f ca="1">OFFSET(Gemini抽出データ!$A$1,GQ8,4)</f>
        <v>0</v>
      </c>
      <c r="GS14" s="17" t="str">
        <f ca="1">IF(OFFSET(Gemini抽出データ!$A$1,GQ8,5)=0,"",OFFSET(Gemini抽出データ!$A$1,GQ8,5))</f>
        <v/>
      </c>
      <c r="GT14" s="16" t="str">
        <f>GQ14</f>
        <v>クラス449</v>
      </c>
      <c r="GU14" s="17">
        <f ca="1">OFFSET(Gemini抽出データ!$A$1,GT8,4)</f>
        <v>0</v>
      </c>
      <c r="GV14" s="18" t="str">
        <f ca="1">IF(OFFSET(Gemini抽出データ!$A$1,GT8,5)=0,"",OFFSET(Gemini抽出データ!$A$1,GT8,5))</f>
        <v/>
      </c>
      <c r="GW14" s="16" t="str">
        <f>"クラス"&amp;GW$1</f>
        <v>クラス477</v>
      </c>
      <c r="GX14" s="17">
        <f ca="1">OFFSET(Gemini抽出データ!$A$1,GW8,4)</f>
        <v>0</v>
      </c>
      <c r="GY14" s="17" t="str">
        <f ca="1">IF(OFFSET(Gemini抽出データ!$A$1,GW8,5)=0,"",OFFSET(Gemini抽出データ!$A$1,GW8,5))</f>
        <v/>
      </c>
      <c r="GZ14" s="16" t="str">
        <f>GW14</f>
        <v>クラス477</v>
      </c>
      <c r="HA14" s="17">
        <f ca="1">OFFSET(Gemini抽出データ!$A$1,GZ8,4)</f>
        <v>0</v>
      </c>
      <c r="HB14" s="18" t="str">
        <f ca="1">IF(OFFSET(Gemini抽出データ!$A$1,GZ8,5)=0,"",OFFSET(Gemini抽出データ!$A$1,GZ8,5))</f>
        <v/>
      </c>
      <c r="HC14" s="19" t="str">
        <f>GW14</f>
        <v>クラス477</v>
      </c>
      <c r="HD14" s="17">
        <f ca="1">OFFSET(Gemini抽出データ!$A$1,HC8,4)</f>
        <v>0</v>
      </c>
      <c r="HE14" s="17" t="str">
        <f ca="1">IF(OFFSET(Gemini抽出データ!$A$1,HC8,5)=0,"",OFFSET(Gemini抽出データ!$A$1,HC8,5))</f>
        <v/>
      </c>
      <c r="HF14" s="16" t="str">
        <f>HC14</f>
        <v>クラス477</v>
      </c>
      <c r="HG14" s="17">
        <f ca="1">OFFSET(Gemini抽出データ!$A$1,HF8,4)</f>
        <v>0</v>
      </c>
      <c r="HH14" s="18" t="str">
        <f ca="1">IF(OFFSET(Gemini抽出データ!$A$1,HF8,5)=0,"",OFFSET(Gemini抽出データ!$A$1,HF8,5))</f>
        <v/>
      </c>
      <c r="HI14" s="16" t="str">
        <f>"クラス"&amp;HI$1</f>
        <v>クラス505</v>
      </c>
      <c r="HJ14" s="17">
        <f ca="1">OFFSET(Gemini抽出データ!$A$1,HI8,4)</f>
        <v>0</v>
      </c>
      <c r="HK14" s="17" t="str">
        <f ca="1">IF(OFFSET(Gemini抽出データ!$A$1,HI8,5)=0,"",OFFSET(Gemini抽出データ!$A$1,HI8,5))</f>
        <v/>
      </c>
      <c r="HL14" s="16" t="str">
        <f>HI14</f>
        <v>クラス505</v>
      </c>
      <c r="HM14" s="17">
        <f ca="1">OFFSET(Gemini抽出データ!$A$1,HL8,4)</f>
        <v>0</v>
      </c>
      <c r="HN14" s="18" t="str">
        <f ca="1">IF(OFFSET(Gemini抽出データ!$A$1,HL8,5)=0,"",OFFSET(Gemini抽出データ!$A$1,HL8,5))</f>
        <v/>
      </c>
      <c r="HO14" s="19" t="str">
        <f>HI14</f>
        <v>クラス505</v>
      </c>
      <c r="HP14" s="17">
        <f ca="1">OFFSET(Gemini抽出データ!$A$1,HO8,4)</f>
        <v>0</v>
      </c>
      <c r="HQ14" s="17" t="str">
        <f ca="1">IF(OFFSET(Gemini抽出データ!$A$1,HO8,5)=0,"",OFFSET(Gemini抽出データ!$A$1,HO8,5))</f>
        <v/>
      </c>
      <c r="HR14" s="16" t="str">
        <f>HO14</f>
        <v>クラス505</v>
      </c>
      <c r="HS14" s="17">
        <f ca="1">OFFSET(Gemini抽出データ!$A$1,HR8,4)</f>
        <v>0</v>
      </c>
      <c r="HT14" s="18" t="str">
        <f ca="1">IF(OFFSET(Gemini抽出データ!$A$1,HR8,5)=0,"",OFFSET(Gemini抽出データ!$A$1,HR8,5))</f>
        <v/>
      </c>
      <c r="HU14" t="e">
        <f ca="1">OFFSET(Gemini抽出データ!$A$1,#REF!,4)</f>
        <v>#REF!</v>
      </c>
      <c r="HV14" t="e">
        <f ca="1">IF(OFFSET(Gemini抽出データ!$A$1,#REF!,5)=0,"",OFFSET(Gemini抽出データ!$A$1,#REF!,5))</f>
        <v>#REF!</v>
      </c>
    </row>
    <row r="15" spans="1:230" ht="17.100000000000001" customHeight="1" x14ac:dyDescent="0.45">
      <c r="A15" s="10">
        <f>J8+1</f>
        <v>9</v>
      </c>
      <c r="B15" s="20">
        <f ca="1">OFFSET(Gemini抽出データ!$A$1,A15,0)</f>
        <v>0</v>
      </c>
      <c r="C15" s="20"/>
      <c r="D15" s="10">
        <f>A15+1</f>
        <v>10</v>
      </c>
      <c r="E15" s="20">
        <f ca="1">OFFSET(Gemini抽出データ!$A$1,D15,0)</f>
        <v>0</v>
      </c>
      <c r="F15" s="21"/>
      <c r="G15" s="13">
        <f>D15+1</f>
        <v>11</v>
      </c>
      <c r="H15" s="20">
        <f ca="1">OFFSET(Gemini抽出データ!$A$1,G15,0)</f>
        <v>0</v>
      </c>
      <c r="I15" s="20"/>
      <c r="J15" s="10">
        <f>G15+1</f>
        <v>12</v>
      </c>
      <c r="K15" s="20">
        <f ca="1">OFFSET(Gemini抽出データ!$A$1,J15,0)</f>
        <v>0</v>
      </c>
      <c r="L15" s="21"/>
      <c r="M15" s="10">
        <f>V8+1</f>
        <v>37</v>
      </c>
      <c r="N15" s="20">
        <f ca="1">OFFSET(Gemini抽出データ!$A$1,M15,0)</f>
        <v>0</v>
      </c>
      <c r="O15" s="20"/>
      <c r="P15" s="10">
        <f>M15+1</f>
        <v>38</v>
      </c>
      <c r="Q15" s="20">
        <f ca="1">OFFSET(Gemini抽出データ!$A$1,P15,0)</f>
        <v>0</v>
      </c>
      <c r="R15" s="21"/>
      <c r="S15" s="13">
        <f>P15+1</f>
        <v>39</v>
      </c>
      <c r="T15" s="20">
        <f ca="1">OFFSET(Gemini抽出データ!$A$1,S15,0)</f>
        <v>0</v>
      </c>
      <c r="U15" s="20"/>
      <c r="V15" s="10">
        <f>S15+1</f>
        <v>40</v>
      </c>
      <c r="W15" s="20">
        <f ca="1">OFFSET(Gemini抽出データ!$A$1,V15,0)</f>
        <v>0</v>
      </c>
      <c r="X15" s="21"/>
      <c r="Y15" s="10">
        <f>AH8+1</f>
        <v>65</v>
      </c>
      <c r="Z15" s="20">
        <f ca="1">OFFSET(Gemini抽出データ!$A$1,Y15,0)</f>
        <v>0</v>
      </c>
      <c r="AA15" s="20"/>
      <c r="AB15" s="10">
        <f>Y15+1</f>
        <v>66</v>
      </c>
      <c r="AC15" s="20">
        <f ca="1">OFFSET(Gemini抽出データ!$A$1,AB15,0)</f>
        <v>0</v>
      </c>
      <c r="AD15" s="21"/>
      <c r="AE15" s="13">
        <f>AB15+1</f>
        <v>67</v>
      </c>
      <c r="AF15" s="20">
        <f ca="1">OFFSET(Gemini抽出データ!$A$1,AE15,0)</f>
        <v>0</v>
      </c>
      <c r="AG15" s="20"/>
      <c r="AH15" s="10">
        <f>AE15+1</f>
        <v>68</v>
      </c>
      <c r="AI15" s="20">
        <f ca="1">OFFSET(Gemini抽出データ!$A$1,AH15,0)</f>
        <v>0</v>
      </c>
      <c r="AJ15" s="21"/>
      <c r="AK15" s="10">
        <f>AT8+1</f>
        <v>93</v>
      </c>
      <c r="AL15" s="20">
        <f ca="1">OFFSET(Gemini抽出データ!$A$1,AK15,0)</f>
        <v>0</v>
      </c>
      <c r="AM15" s="20"/>
      <c r="AN15" s="10">
        <f>AK15+1</f>
        <v>94</v>
      </c>
      <c r="AO15" s="20">
        <f ca="1">OFFSET(Gemini抽出データ!$A$1,AN15,0)</f>
        <v>0</v>
      </c>
      <c r="AP15" s="21"/>
      <c r="AQ15" s="13">
        <f>AN15+1</f>
        <v>95</v>
      </c>
      <c r="AR15" s="20">
        <f ca="1">OFFSET(Gemini抽出データ!$A$1,AQ15,0)</f>
        <v>0</v>
      </c>
      <c r="AS15" s="20"/>
      <c r="AT15" s="10">
        <f>AQ15+1</f>
        <v>96</v>
      </c>
      <c r="AU15" s="20">
        <f ca="1">OFFSET(Gemini抽出データ!$A$1,AT15,0)</f>
        <v>0</v>
      </c>
      <c r="AV15" s="21"/>
      <c r="AW15" s="10">
        <f>BF8+1</f>
        <v>121</v>
      </c>
      <c r="AX15" s="20">
        <f ca="1">OFFSET(Gemini抽出データ!$A$1,AW15,0)</f>
        <v>0</v>
      </c>
      <c r="AY15" s="20"/>
      <c r="AZ15" s="10">
        <f>AW15+1</f>
        <v>122</v>
      </c>
      <c r="BA15" s="20">
        <f ca="1">OFFSET(Gemini抽出データ!$A$1,AZ15,0)</f>
        <v>0</v>
      </c>
      <c r="BB15" s="21"/>
      <c r="BC15" s="13">
        <f>AZ15+1</f>
        <v>123</v>
      </c>
      <c r="BD15" s="20">
        <f ca="1">OFFSET(Gemini抽出データ!$A$1,BC15,0)</f>
        <v>0</v>
      </c>
      <c r="BE15" s="20"/>
      <c r="BF15" s="10">
        <f>BC15+1</f>
        <v>124</v>
      </c>
      <c r="BG15" s="20">
        <f ca="1">OFFSET(Gemini抽出データ!$A$1,BF15,0)</f>
        <v>0</v>
      </c>
      <c r="BH15" s="21"/>
      <c r="BI15" s="10">
        <f>BR8+1</f>
        <v>149</v>
      </c>
      <c r="BJ15" s="20">
        <f ca="1">OFFSET(Gemini抽出データ!$A$1,BI15,0)</f>
        <v>0</v>
      </c>
      <c r="BK15" s="20"/>
      <c r="BL15" s="10">
        <f>BI15+1</f>
        <v>150</v>
      </c>
      <c r="BM15" s="20">
        <f ca="1">OFFSET(Gemini抽出データ!$A$1,BL15,0)</f>
        <v>0</v>
      </c>
      <c r="BN15" s="21"/>
      <c r="BO15" s="13">
        <f>BL15+1</f>
        <v>151</v>
      </c>
      <c r="BP15" s="20">
        <f ca="1">OFFSET(Gemini抽出データ!$A$1,BO15,0)</f>
        <v>0</v>
      </c>
      <c r="BQ15" s="20"/>
      <c r="BR15" s="10">
        <f>BO15+1</f>
        <v>152</v>
      </c>
      <c r="BS15" s="20">
        <f ca="1">OFFSET(Gemini抽出データ!$A$1,BR15,0)</f>
        <v>0</v>
      </c>
      <c r="BT15" s="21"/>
      <c r="BU15" s="10">
        <f>CD8+1</f>
        <v>177</v>
      </c>
      <c r="BV15" s="20">
        <f ca="1">OFFSET(Gemini抽出データ!$A$1,BU15,0)</f>
        <v>0</v>
      </c>
      <c r="BW15" s="20"/>
      <c r="BX15" s="10">
        <f>BU15+1</f>
        <v>178</v>
      </c>
      <c r="BY15" s="20">
        <f ca="1">OFFSET(Gemini抽出データ!$A$1,BX15,0)</f>
        <v>0</v>
      </c>
      <c r="BZ15" s="21"/>
      <c r="CA15" s="13">
        <f>BX15+1</f>
        <v>179</v>
      </c>
      <c r="CB15" s="20">
        <f ca="1">OFFSET(Gemini抽出データ!$A$1,CA15,0)</f>
        <v>0</v>
      </c>
      <c r="CC15" s="20"/>
      <c r="CD15" s="10">
        <f>CA15+1</f>
        <v>180</v>
      </c>
      <c r="CE15" s="20">
        <f ca="1">OFFSET(Gemini抽出データ!$A$1,CD15,0)</f>
        <v>0</v>
      </c>
      <c r="CF15" s="21"/>
      <c r="CG15" s="10">
        <f>CP8+1</f>
        <v>205</v>
      </c>
      <c r="CH15" s="20">
        <f ca="1">OFFSET(Gemini抽出データ!$A$1,CG15,0)</f>
        <v>0</v>
      </c>
      <c r="CI15" s="20"/>
      <c r="CJ15" s="10">
        <f>CG15+1</f>
        <v>206</v>
      </c>
      <c r="CK15" s="20">
        <f ca="1">OFFSET(Gemini抽出データ!$A$1,CJ15,0)</f>
        <v>0</v>
      </c>
      <c r="CL15" s="21"/>
      <c r="CM15" s="13">
        <f>CJ15+1</f>
        <v>207</v>
      </c>
      <c r="CN15" s="20">
        <f ca="1">OFFSET(Gemini抽出データ!$A$1,CM15,0)</f>
        <v>0</v>
      </c>
      <c r="CO15" s="20"/>
      <c r="CP15" s="10">
        <f>CM15+1</f>
        <v>208</v>
      </c>
      <c r="CQ15" s="20">
        <f ca="1">OFFSET(Gemini抽出データ!$A$1,CP15,0)</f>
        <v>0</v>
      </c>
      <c r="CR15" s="21"/>
      <c r="CS15" s="10">
        <f>DB8+1</f>
        <v>233</v>
      </c>
      <c r="CT15" s="20">
        <f ca="1">OFFSET(Gemini抽出データ!$A$1,CS15,0)</f>
        <v>0</v>
      </c>
      <c r="CU15" s="20"/>
      <c r="CV15" s="10">
        <f>CS15+1</f>
        <v>234</v>
      </c>
      <c r="CW15" s="20">
        <f ca="1">OFFSET(Gemini抽出データ!$A$1,CV15,0)</f>
        <v>0</v>
      </c>
      <c r="CX15" s="21"/>
      <c r="CY15" s="13">
        <f>CV15+1</f>
        <v>235</v>
      </c>
      <c r="CZ15" s="20">
        <f ca="1">OFFSET(Gemini抽出データ!$A$1,CY15,0)</f>
        <v>0</v>
      </c>
      <c r="DA15" s="20"/>
      <c r="DB15" s="10">
        <f>CY15+1</f>
        <v>236</v>
      </c>
      <c r="DC15" s="20">
        <f ca="1">OFFSET(Gemini抽出データ!$A$1,DB15,0)</f>
        <v>0</v>
      </c>
      <c r="DD15" s="21"/>
      <c r="DE15" s="10">
        <f>DN8+1</f>
        <v>261</v>
      </c>
      <c r="DF15" s="20">
        <f ca="1">OFFSET(Gemini抽出データ!$A$1,DE15,0)</f>
        <v>0</v>
      </c>
      <c r="DG15" s="20"/>
      <c r="DH15" s="10">
        <f>DE15+1</f>
        <v>262</v>
      </c>
      <c r="DI15" s="20">
        <f ca="1">OFFSET(Gemini抽出データ!$A$1,DH15,0)</f>
        <v>0</v>
      </c>
      <c r="DJ15" s="21"/>
      <c r="DK15" s="13">
        <f>DH15+1</f>
        <v>263</v>
      </c>
      <c r="DL15" s="20">
        <f ca="1">OFFSET(Gemini抽出データ!$A$1,DK15,0)</f>
        <v>0</v>
      </c>
      <c r="DM15" s="20"/>
      <c r="DN15" s="10">
        <f>DK15+1</f>
        <v>264</v>
      </c>
      <c r="DO15" s="20">
        <f ca="1">OFFSET(Gemini抽出データ!$A$1,DN15,0)</f>
        <v>0</v>
      </c>
      <c r="DP15" s="21"/>
      <c r="DQ15" s="10">
        <f>DZ8+1</f>
        <v>289</v>
      </c>
      <c r="DR15" s="20">
        <f ca="1">OFFSET(Gemini抽出データ!$A$1,DQ15,0)</f>
        <v>0</v>
      </c>
      <c r="DS15" s="20"/>
      <c r="DT15" s="10">
        <f>DQ15+1</f>
        <v>290</v>
      </c>
      <c r="DU15" s="20">
        <f ca="1">OFFSET(Gemini抽出データ!$A$1,DT15,0)</f>
        <v>0</v>
      </c>
      <c r="DV15" s="21"/>
      <c r="DW15" s="13">
        <f>DT15+1</f>
        <v>291</v>
      </c>
      <c r="DX15" s="20">
        <f ca="1">OFFSET(Gemini抽出データ!$A$1,DW15,0)</f>
        <v>0</v>
      </c>
      <c r="DY15" s="20"/>
      <c r="DZ15" s="10">
        <f>DW15+1</f>
        <v>292</v>
      </c>
      <c r="EA15" s="20">
        <f ca="1">OFFSET(Gemini抽出データ!$A$1,DZ15,0)</f>
        <v>0</v>
      </c>
      <c r="EB15" s="21"/>
      <c r="EC15" s="10">
        <f>EL8+1</f>
        <v>317</v>
      </c>
      <c r="ED15" s="20">
        <f ca="1">OFFSET(Gemini抽出データ!$A$1,EC15,0)</f>
        <v>0</v>
      </c>
      <c r="EE15" s="20"/>
      <c r="EF15" s="10">
        <f>EC15+1</f>
        <v>318</v>
      </c>
      <c r="EG15" s="20">
        <f ca="1">OFFSET(Gemini抽出データ!$A$1,EF15,0)</f>
        <v>0</v>
      </c>
      <c r="EH15" s="21"/>
      <c r="EI15" s="13">
        <f>EF15+1</f>
        <v>319</v>
      </c>
      <c r="EJ15" s="20">
        <f ca="1">OFFSET(Gemini抽出データ!$A$1,EI15,0)</f>
        <v>0</v>
      </c>
      <c r="EK15" s="20"/>
      <c r="EL15" s="10">
        <f>EI15+1</f>
        <v>320</v>
      </c>
      <c r="EM15" s="20">
        <f ca="1">OFFSET(Gemini抽出データ!$A$1,EL15,0)</f>
        <v>0</v>
      </c>
      <c r="EN15" s="21"/>
      <c r="EO15" s="10">
        <f>EX8+1</f>
        <v>345</v>
      </c>
      <c r="EP15" s="20">
        <f ca="1">OFFSET(Gemini抽出データ!$A$1,EO15,0)</f>
        <v>0</v>
      </c>
      <c r="EQ15" s="20"/>
      <c r="ER15" s="10">
        <f>EO15+1</f>
        <v>346</v>
      </c>
      <c r="ES15" s="20">
        <f ca="1">OFFSET(Gemini抽出データ!$A$1,ER15,0)</f>
        <v>0</v>
      </c>
      <c r="ET15" s="21"/>
      <c r="EU15" s="13">
        <f>ER15+1</f>
        <v>347</v>
      </c>
      <c r="EV15" s="20">
        <f ca="1">OFFSET(Gemini抽出データ!$A$1,EU15,0)</f>
        <v>0</v>
      </c>
      <c r="EW15" s="20"/>
      <c r="EX15" s="10">
        <f>EU15+1</f>
        <v>348</v>
      </c>
      <c r="EY15" s="20">
        <f ca="1">OFFSET(Gemini抽出データ!$A$1,EX15,0)</f>
        <v>0</v>
      </c>
      <c r="EZ15" s="21"/>
      <c r="FA15" s="10">
        <f>FJ8+1</f>
        <v>373</v>
      </c>
      <c r="FB15" s="20">
        <f ca="1">OFFSET(Gemini抽出データ!$A$1,FA15,0)</f>
        <v>0</v>
      </c>
      <c r="FC15" s="20"/>
      <c r="FD15" s="10">
        <f>FA15+1</f>
        <v>374</v>
      </c>
      <c r="FE15" s="20">
        <f ca="1">OFFSET(Gemini抽出データ!$A$1,FD15,0)</f>
        <v>0</v>
      </c>
      <c r="FF15" s="21"/>
      <c r="FG15" s="13">
        <f>FD15+1</f>
        <v>375</v>
      </c>
      <c r="FH15" s="20">
        <f ca="1">OFFSET(Gemini抽出データ!$A$1,FG15,0)</f>
        <v>0</v>
      </c>
      <c r="FI15" s="20"/>
      <c r="FJ15" s="10">
        <f>FG15+1</f>
        <v>376</v>
      </c>
      <c r="FK15" s="20">
        <f ca="1">OFFSET(Gemini抽出データ!$A$1,FJ15,0)</f>
        <v>0</v>
      </c>
      <c r="FL15" s="21"/>
      <c r="FM15" s="10">
        <f>FV8+1</f>
        <v>401</v>
      </c>
      <c r="FN15" s="20">
        <f ca="1">OFFSET(Gemini抽出データ!$A$1,FM15,0)</f>
        <v>0</v>
      </c>
      <c r="FO15" s="20"/>
      <c r="FP15" s="10">
        <f>FM15+1</f>
        <v>402</v>
      </c>
      <c r="FQ15" s="20">
        <f ca="1">OFFSET(Gemini抽出データ!$A$1,FP15,0)</f>
        <v>0</v>
      </c>
      <c r="FR15" s="21"/>
      <c r="FS15" s="13">
        <f>FP15+1</f>
        <v>403</v>
      </c>
      <c r="FT15" s="20">
        <f ca="1">OFFSET(Gemini抽出データ!$A$1,FS15,0)</f>
        <v>0</v>
      </c>
      <c r="FU15" s="20"/>
      <c r="FV15" s="10">
        <f>FS15+1</f>
        <v>404</v>
      </c>
      <c r="FW15" s="20">
        <f ca="1">OFFSET(Gemini抽出データ!$A$1,FV15,0)</f>
        <v>0</v>
      </c>
      <c r="FX15" s="21"/>
      <c r="FY15" s="10">
        <f>GH8+1</f>
        <v>429</v>
      </c>
      <c r="FZ15" s="20">
        <f ca="1">OFFSET(Gemini抽出データ!$A$1,FY15,0)</f>
        <v>0</v>
      </c>
      <c r="GA15" s="20"/>
      <c r="GB15" s="10">
        <f>FY15+1</f>
        <v>430</v>
      </c>
      <c r="GC15" s="20">
        <f ca="1">OFFSET(Gemini抽出データ!$A$1,GB15,0)</f>
        <v>0</v>
      </c>
      <c r="GD15" s="21"/>
      <c r="GE15" s="13">
        <f>GB15+1</f>
        <v>431</v>
      </c>
      <c r="GF15" s="20">
        <f ca="1">OFFSET(Gemini抽出データ!$A$1,GE15,0)</f>
        <v>0</v>
      </c>
      <c r="GG15" s="20"/>
      <c r="GH15" s="10">
        <f>GE15+1</f>
        <v>432</v>
      </c>
      <c r="GI15" s="20">
        <f ca="1">OFFSET(Gemini抽出データ!$A$1,GH15,0)</f>
        <v>0</v>
      </c>
      <c r="GJ15" s="21"/>
      <c r="GK15" s="10">
        <f>GT8+1</f>
        <v>457</v>
      </c>
      <c r="GL15" s="20">
        <f ca="1">OFFSET(Gemini抽出データ!$A$1,GK15,0)</f>
        <v>0</v>
      </c>
      <c r="GM15" s="20"/>
      <c r="GN15" s="10">
        <f>GK15+1</f>
        <v>458</v>
      </c>
      <c r="GO15" s="20">
        <f ca="1">OFFSET(Gemini抽出データ!$A$1,GN15,0)</f>
        <v>0</v>
      </c>
      <c r="GP15" s="21"/>
      <c r="GQ15" s="13">
        <f>GN15+1</f>
        <v>459</v>
      </c>
      <c r="GR15" s="20">
        <f ca="1">OFFSET(Gemini抽出データ!$A$1,GQ15,0)</f>
        <v>0</v>
      </c>
      <c r="GS15" s="20"/>
      <c r="GT15" s="10">
        <f>GQ15+1</f>
        <v>460</v>
      </c>
      <c r="GU15" s="20">
        <f ca="1">OFFSET(Gemini抽出データ!$A$1,GT15,0)</f>
        <v>0</v>
      </c>
      <c r="GV15" s="21"/>
      <c r="GW15" s="10">
        <f>HF8+1</f>
        <v>485</v>
      </c>
      <c r="GX15" s="20">
        <f ca="1">OFFSET(Gemini抽出データ!$A$1,GW15,0)</f>
        <v>0</v>
      </c>
      <c r="GY15" s="20"/>
      <c r="GZ15" s="10">
        <f>GW15+1</f>
        <v>486</v>
      </c>
      <c r="HA15" s="20">
        <f ca="1">OFFSET(Gemini抽出データ!$A$1,GZ15,0)</f>
        <v>0</v>
      </c>
      <c r="HB15" s="21"/>
      <c r="HC15" s="13">
        <f>GZ15+1</f>
        <v>487</v>
      </c>
      <c r="HD15" s="20">
        <f ca="1">OFFSET(Gemini抽出データ!$A$1,HC15,0)</f>
        <v>0</v>
      </c>
      <c r="HE15" s="20"/>
      <c r="HF15" s="10">
        <f>HC15+1</f>
        <v>488</v>
      </c>
      <c r="HG15" s="20">
        <f ca="1">OFFSET(Gemini抽出データ!$A$1,HF15,0)</f>
        <v>0</v>
      </c>
      <c r="HH15" s="21"/>
      <c r="HI15" s="10">
        <f>HR8+1</f>
        <v>513</v>
      </c>
      <c r="HJ15" s="20">
        <f ca="1">OFFSET(Gemini抽出データ!$A$1,HI15,0)</f>
        <v>0</v>
      </c>
      <c r="HK15" s="20"/>
      <c r="HL15" s="10">
        <f>HI15+1</f>
        <v>514</v>
      </c>
      <c r="HM15" s="20">
        <f ca="1">OFFSET(Gemini抽出データ!$A$1,HL15,0)</f>
        <v>0</v>
      </c>
      <c r="HN15" s="21"/>
      <c r="HO15" s="13">
        <f>HL15+1</f>
        <v>515</v>
      </c>
      <c r="HP15" s="20">
        <f ca="1">OFFSET(Gemini抽出データ!$A$1,HO15,0)</f>
        <v>0</v>
      </c>
      <c r="HQ15" s="20"/>
      <c r="HR15" s="10">
        <f>HO15+1</f>
        <v>516</v>
      </c>
      <c r="HS15" s="20">
        <f ca="1">OFFSET(Gemini抽出データ!$A$1,HR15,0)</f>
        <v>0</v>
      </c>
      <c r="HT15" s="21"/>
      <c r="HU15" s="4" t="e">
        <f ca="1">OFFSET(Gemini抽出データ!$A$1,#REF!,0)</f>
        <v>#REF!</v>
      </c>
      <c r="HV15" s="4"/>
    </row>
    <row r="16" spans="1:230" ht="17.100000000000001" customHeight="1" x14ac:dyDescent="0.45">
      <c r="A16" s="10" t="str">
        <f>"クライアント名"&amp;A$1</f>
        <v>クライアント名1</v>
      </c>
      <c r="B16" s="11">
        <f ca="1">OFFSET(Gemini抽出データ!$A$1,A15,2)</f>
        <v>0</v>
      </c>
      <c r="C16" s="11"/>
      <c r="D16" s="10" t="str">
        <f>"クライアント名"&amp;D$1</f>
        <v>クライアント名2</v>
      </c>
      <c r="E16" s="11">
        <f ca="1">OFFSET(Gemini抽出データ!$A$1,D15,2)</f>
        <v>0</v>
      </c>
      <c r="F16" s="12"/>
      <c r="G16" s="13" t="str">
        <f>"クライアント名"&amp;G$1</f>
        <v>クライアント名3</v>
      </c>
      <c r="H16" s="11">
        <f ca="1">OFFSET(Gemini抽出データ!$A$1,G15,2)</f>
        <v>0</v>
      </c>
      <c r="I16" s="11"/>
      <c r="J16" s="10" t="str">
        <f>"クライアント名"&amp;J$1</f>
        <v>クライアント名4</v>
      </c>
      <c r="K16" s="11">
        <f ca="1">OFFSET(Gemini抽出データ!$A$1,J15,2)</f>
        <v>0</v>
      </c>
      <c r="L16" s="12"/>
      <c r="M16" s="10" t="str">
        <f>"クライアント名"&amp;M$1</f>
        <v>クライアント名29</v>
      </c>
      <c r="N16" s="11">
        <f ca="1">OFFSET(Gemini抽出データ!$A$1,M15,2)</f>
        <v>0</v>
      </c>
      <c r="O16" s="11"/>
      <c r="P16" s="10" t="str">
        <f>"クライアント名"&amp;P$1</f>
        <v>クライアント名30</v>
      </c>
      <c r="Q16" s="11">
        <f ca="1">OFFSET(Gemini抽出データ!$A$1,P15,2)</f>
        <v>0</v>
      </c>
      <c r="R16" s="12"/>
      <c r="S16" s="13" t="str">
        <f>"クライアント名"&amp;S$1</f>
        <v>クライアント名31</v>
      </c>
      <c r="T16" s="11">
        <f ca="1">OFFSET(Gemini抽出データ!$A$1,S15,2)</f>
        <v>0</v>
      </c>
      <c r="U16" s="11"/>
      <c r="V16" s="10" t="str">
        <f>"クライアント名"&amp;V$1</f>
        <v>クライアント名32</v>
      </c>
      <c r="W16" s="11">
        <f ca="1">OFFSET(Gemini抽出データ!$A$1,V15,2)</f>
        <v>0</v>
      </c>
      <c r="X16" s="12"/>
      <c r="Y16" s="10" t="str">
        <f>"クライアント名"&amp;Y$1</f>
        <v>クライアント名57</v>
      </c>
      <c r="Z16" s="11">
        <f ca="1">OFFSET(Gemini抽出データ!$A$1,Y15,2)</f>
        <v>0</v>
      </c>
      <c r="AA16" s="11"/>
      <c r="AB16" s="10" t="str">
        <f>"クライアント名"&amp;AB$1</f>
        <v>クライアント名58</v>
      </c>
      <c r="AC16" s="11">
        <f ca="1">OFFSET(Gemini抽出データ!$A$1,AB15,2)</f>
        <v>0</v>
      </c>
      <c r="AD16" s="12"/>
      <c r="AE16" s="13" t="str">
        <f>"クライアント名"&amp;AE$1</f>
        <v>クライアント名59</v>
      </c>
      <c r="AF16" s="11">
        <f ca="1">OFFSET(Gemini抽出データ!$A$1,AE15,2)</f>
        <v>0</v>
      </c>
      <c r="AG16" s="11"/>
      <c r="AH16" s="10" t="str">
        <f>"クライアント名"&amp;AH$1</f>
        <v>クライアント名60</v>
      </c>
      <c r="AI16" s="11">
        <f ca="1">OFFSET(Gemini抽出データ!$A$1,AH15,2)</f>
        <v>0</v>
      </c>
      <c r="AJ16" s="12"/>
      <c r="AK16" s="10" t="str">
        <f>"クライアント名"&amp;AK$1</f>
        <v>クライアント名85</v>
      </c>
      <c r="AL16" s="11">
        <f ca="1">OFFSET(Gemini抽出データ!$A$1,AK15,2)</f>
        <v>0</v>
      </c>
      <c r="AM16" s="11"/>
      <c r="AN16" s="10" t="str">
        <f>"クライアント名"&amp;AN$1</f>
        <v>クライアント名86</v>
      </c>
      <c r="AO16" s="11">
        <f ca="1">OFFSET(Gemini抽出データ!$A$1,AN15,2)</f>
        <v>0</v>
      </c>
      <c r="AP16" s="12"/>
      <c r="AQ16" s="13" t="str">
        <f>"クライアント名"&amp;AQ$1</f>
        <v>クライアント名87</v>
      </c>
      <c r="AR16" s="11">
        <f ca="1">OFFSET(Gemini抽出データ!$A$1,AQ15,2)</f>
        <v>0</v>
      </c>
      <c r="AS16" s="11"/>
      <c r="AT16" s="10" t="str">
        <f>"クライアント名"&amp;AT$1</f>
        <v>クライアント名88</v>
      </c>
      <c r="AU16" s="11">
        <f ca="1">OFFSET(Gemini抽出データ!$A$1,AT15,2)</f>
        <v>0</v>
      </c>
      <c r="AV16" s="12"/>
      <c r="AW16" s="10" t="str">
        <f>"クライアント名"&amp;AW$1</f>
        <v>クライアント名113</v>
      </c>
      <c r="AX16" s="11">
        <f ca="1">OFFSET(Gemini抽出データ!$A$1,AW15,2)</f>
        <v>0</v>
      </c>
      <c r="AY16" s="11"/>
      <c r="AZ16" s="10" t="str">
        <f>"クライアント名"&amp;AZ$1</f>
        <v>クライアント名114</v>
      </c>
      <c r="BA16" s="11">
        <f ca="1">OFFSET(Gemini抽出データ!$A$1,AZ15,2)</f>
        <v>0</v>
      </c>
      <c r="BB16" s="12"/>
      <c r="BC16" s="13" t="str">
        <f>"クライアント名"&amp;BC$1</f>
        <v>クライアント名115</v>
      </c>
      <c r="BD16" s="11">
        <f ca="1">OFFSET(Gemini抽出データ!$A$1,BC15,2)</f>
        <v>0</v>
      </c>
      <c r="BE16" s="11"/>
      <c r="BF16" s="10" t="str">
        <f>"クライアント名"&amp;BF$1</f>
        <v>クライアント名116</v>
      </c>
      <c r="BG16" s="11">
        <f ca="1">OFFSET(Gemini抽出データ!$A$1,BF15,2)</f>
        <v>0</v>
      </c>
      <c r="BH16" s="12"/>
      <c r="BI16" s="10" t="str">
        <f>"クライアント名"&amp;BI$1</f>
        <v>クライアント名141</v>
      </c>
      <c r="BJ16" s="11">
        <f ca="1">OFFSET(Gemini抽出データ!$A$1,BI15,2)</f>
        <v>0</v>
      </c>
      <c r="BK16" s="11"/>
      <c r="BL16" s="10" t="str">
        <f>"クライアント名"&amp;BL$1</f>
        <v>クライアント名142</v>
      </c>
      <c r="BM16" s="11">
        <f ca="1">OFFSET(Gemini抽出データ!$A$1,BL15,2)</f>
        <v>0</v>
      </c>
      <c r="BN16" s="12"/>
      <c r="BO16" s="13" t="str">
        <f>"クライアント名"&amp;BO$1</f>
        <v>クライアント名143</v>
      </c>
      <c r="BP16" s="11">
        <f ca="1">OFFSET(Gemini抽出データ!$A$1,BO15,2)</f>
        <v>0</v>
      </c>
      <c r="BQ16" s="11"/>
      <c r="BR16" s="10" t="str">
        <f>"クライアント名"&amp;BR$1</f>
        <v>クライアント名144</v>
      </c>
      <c r="BS16" s="11">
        <f ca="1">OFFSET(Gemini抽出データ!$A$1,BR15,2)</f>
        <v>0</v>
      </c>
      <c r="BT16" s="12"/>
      <c r="BU16" s="10" t="str">
        <f>"クライアント名"&amp;BU$1</f>
        <v>クライアント名169</v>
      </c>
      <c r="BV16" s="11">
        <f ca="1">OFFSET(Gemini抽出データ!$A$1,BU15,2)</f>
        <v>0</v>
      </c>
      <c r="BW16" s="11"/>
      <c r="BX16" s="10" t="str">
        <f>"クライアント名"&amp;BX$1</f>
        <v>クライアント名170</v>
      </c>
      <c r="BY16" s="11">
        <f ca="1">OFFSET(Gemini抽出データ!$A$1,BX15,2)</f>
        <v>0</v>
      </c>
      <c r="BZ16" s="12"/>
      <c r="CA16" s="13" t="str">
        <f>"クライアント名"&amp;CA$1</f>
        <v>クライアント名171</v>
      </c>
      <c r="CB16" s="11">
        <f ca="1">OFFSET(Gemini抽出データ!$A$1,CA15,2)</f>
        <v>0</v>
      </c>
      <c r="CC16" s="11"/>
      <c r="CD16" s="10" t="str">
        <f>"クライアント名"&amp;CD$1</f>
        <v>クライアント名172</v>
      </c>
      <c r="CE16" s="11">
        <f ca="1">OFFSET(Gemini抽出データ!$A$1,CD15,2)</f>
        <v>0</v>
      </c>
      <c r="CF16" s="12"/>
      <c r="CG16" s="10" t="str">
        <f>"クライアント名"&amp;CG$1</f>
        <v>クライアント名197</v>
      </c>
      <c r="CH16" s="11">
        <f ca="1">OFFSET(Gemini抽出データ!$A$1,CG15,2)</f>
        <v>0</v>
      </c>
      <c r="CI16" s="11"/>
      <c r="CJ16" s="10" t="str">
        <f>"クライアント名"&amp;CJ$1</f>
        <v>クライアント名198</v>
      </c>
      <c r="CK16" s="11">
        <f ca="1">OFFSET(Gemini抽出データ!$A$1,CJ15,2)</f>
        <v>0</v>
      </c>
      <c r="CL16" s="12"/>
      <c r="CM16" s="13" t="str">
        <f>"クライアント名"&amp;CM$1</f>
        <v>クライアント名199</v>
      </c>
      <c r="CN16" s="11">
        <f ca="1">OFFSET(Gemini抽出データ!$A$1,CM15,2)</f>
        <v>0</v>
      </c>
      <c r="CO16" s="11"/>
      <c r="CP16" s="10" t="str">
        <f>"クライアント名"&amp;CP$1</f>
        <v>クライアント名200</v>
      </c>
      <c r="CQ16" s="11">
        <f ca="1">OFFSET(Gemini抽出データ!$A$1,CP15,2)</f>
        <v>0</v>
      </c>
      <c r="CR16" s="12"/>
      <c r="CS16" s="10" t="str">
        <f>"クライアント名"&amp;CS$1</f>
        <v>クライアント名225</v>
      </c>
      <c r="CT16" s="11">
        <f ca="1">OFFSET(Gemini抽出データ!$A$1,CS15,2)</f>
        <v>0</v>
      </c>
      <c r="CU16" s="11"/>
      <c r="CV16" s="10" t="str">
        <f>"クライアント名"&amp;CV$1</f>
        <v>クライアント名226</v>
      </c>
      <c r="CW16" s="11">
        <f ca="1">OFFSET(Gemini抽出データ!$A$1,CV15,2)</f>
        <v>0</v>
      </c>
      <c r="CX16" s="12"/>
      <c r="CY16" s="13" t="str">
        <f>"クライアント名"&amp;CY$1</f>
        <v>クライアント名227</v>
      </c>
      <c r="CZ16" s="11">
        <f ca="1">OFFSET(Gemini抽出データ!$A$1,CY15,2)</f>
        <v>0</v>
      </c>
      <c r="DA16" s="11"/>
      <c r="DB16" s="10" t="str">
        <f>"クライアント名"&amp;DB$1</f>
        <v>クライアント名228</v>
      </c>
      <c r="DC16" s="11">
        <f ca="1">OFFSET(Gemini抽出データ!$A$1,DB15,2)</f>
        <v>0</v>
      </c>
      <c r="DD16" s="12"/>
      <c r="DE16" s="10" t="str">
        <f>"クライアント名"&amp;DE$1</f>
        <v>クライアント名253</v>
      </c>
      <c r="DF16" s="11">
        <f ca="1">OFFSET(Gemini抽出データ!$A$1,DE15,2)</f>
        <v>0</v>
      </c>
      <c r="DG16" s="11"/>
      <c r="DH16" s="10" t="str">
        <f>"クライアント名"&amp;DH$1</f>
        <v>クライアント名254</v>
      </c>
      <c r="DI16" s="11">
        <f ca="1">OFFSET(Gemini抽出データ!$A$1,DH15,2)</f>
        <v>0</v>
      </c>
      <c r="DJ16" s="12"/>
      <c r="DK16" s="13" t="str">
        <f>"クライアント名"&amp;DK$1</f>
        <v>クライアント名255</v>
      </c>
      <c r="DL16" s="11">
        <f ca="1">OFFSET(Gemini抽出データ!$A$1,DK15,2)</f>
        <v>0</v>
      </c>
      <c r="DM16" s="11"/>
      <c r="DN16" s="10" t="str">
        <f>"クライアント名"&amp;DN$1</f>
        <v>クライアント名256</v>
      </c>
      <c r="DO16" s="11">
        <f ca="1">OFFSET(Gemini抽出データ!$A$1,DN15,2)</f>
        <v>0</v>
      </c>
      <c r="DP16" s="12"/>
      <c r="DQ16" s="10" t="str">
        <f>"クライアント名"&amp;DQ$1</f>
        <v>クライアント名281</v>
      </c>
      <c r="DR16" s="11">
        <f ca="1">OFFSET(Gemini抽出データ!$A$1,DQ15,2)</f>
        <v>0</v>
      </c>
      <c r="DS16" s="11"/>
      <c r="DT16" s="10" t="str">
        <f>"クライアント名"&amp;DT$1</f>
        <v>クライアント名282</v>
      </c>
      <c r="DU16" s="11">
        <f ca="1">OFFSET(Gemini抽出データ!$A$1,DT15,2)</f>
        <v>0</v>
      </c>
      <c r="DV16" s="12"/>
      <c r="DW16" s="13" t="str">
        <f>"クライアント名"&amp;DW$1</f>
        <v>クライアント名283</v>
      </c>
      <c r="DX16" s="11">
        <f ca="1">OFFSET(Gemini抽出データ!$A$1,DW15,2)</f>
        <v>0</v>
      </c>
      <c r="DY16" s="11"/>
      <c r="DZ16" s="10" t="str">
        <f>"クライアント名"&amp;DZ$1</f>
        <v>クライアント名284</v>
      </c>
      <c r="EA16" s="11">
        <f ca="1">OFFSET(Gemini抽出データ!$A$1,DZ15,2)</f>
        <v>0</v>
      </c>
      <c r="EB16" s="12"/>
      <c r="EC16" s="10" t="str">
        <f>"クライアント名"&amp;EC$1</f>
        <v>クライアント名309</v>
      </c>
      <c r="ED16" s="11">
        <f ca="1">OFFSET(Gemini抽出データ!$A$1,EC15,2)</f>
        <v>0</v>
      </c>
      <c r="EE16" s="11"/>
      <c r="EF16" s="10" t="str">
        <f>"クライアント名"&amp;EF$1</f>
        <v>クライアント名310</v>
      </c>
      <c r="EG16" s="11">
        <f ca="1">OFFSET(Gemini抽出データ!$A$1,EF15,2)</f>
        <v>0</v>
      </c>
      <c r="EH16" s="12"/>
      <c r="EI16" s="13" t="str">
        <f>"クライアント名"&amp;EI$1</f>
        <v>クライアント名311</v>
      </c>
      <c r="EJ16" s="11">
        <f ca="1">OFFSET(Gemini抽出データ!$A$1,EI15,2)</f>
        <v>0</v>
      </c>
      <c r="EK16" s="11"/>
      <c r="EL16" s="10" t="str">
        <f>"クライアント名"&amp;EL$1</f>
        <v>クライアント名312</v>
      </c>
      <c r="EM16" s="11">
        <f ca="1">OFFSET(Gemini抽出データ!$A$1,EL15,2)</f>
        <v>0</v>
      </c>
      <c r="EN16" s="12"/>
      <c r="EO16" s="10" t="str">
        <f>"クライアント名"&amp;EO$1</f>
        <v>クライアント名337</v>
      </c>
      <c r="EP16" s="11">
        <f ca="1">OFFSET(Gemini抽出データ!$A$1,EO15,2)</f>
        <v>0</v>
      </c>
      <c r="EQ16" s="11"/>
      <c r="ER16" s="10" t="str">
        <f>"クライアント名"&amp;ER$1</f>
        <v>クライアント名338</v>
      </c>
      <c r="ES16" s="11">
        <f ca="1">OFFSET(Gemini抽出データ!$A$1,ER15,2)</f>
        <v>0</v>
      </c>
      <c r="ET16" s="12"/>
      <c r="EU16" s="13" t="str">
        <f>"クライアント名"&amp;EU$1</f>
        <v>クライアント名339</v>
      </c>
      <c r="EV16" s="11">
        <f ca="1">OFFSET(Gemini抽出データ!$A$1,EU15,2)</f>
        <v>0</v>
      </c>
      <c r="EW16" s="11"/>
      <c r="EX16" s="10" t="str">
        <f>"クライアント名"&amp;EX$1</f>
        <v>クライアント名340</v>
      </c>
      <c r="EY16" s="11">
        <f ca="1">OFFSET(Gemini抽出データ!$A$1,EX15,2)</f>
        <v>0</v>
      </c>
      <c r="EZ16" s="12"/>
      <c r="FA16" s="10" t="str">
        <f>"クライアント名"&amp;FA$1</f>
        <v>クライアント名365</v>
      </c>
      <c r="FB16" s="11">
        <f ca="1">OFFSET(Gemini抽出データ!$A$1,FA15,2)</f>
        <v>0</v>
      </c>
      <c r="FC16" s="11"/>
      <c r="FD16" s="10" t="str">
        <f>"クライアント名"&amp;FD$1</f>
        <v>クライアント名366</v>
      </c>
      <c r="FE16" s="11">
        <f ca="1">OFFSET(Gemini抽出データ!$A$1,FD15,2)</f>
        <v>0</v>
      </c>
      <c r="FF16" s="12"/>
      <c r="FG16" s="13" t="str">
        <f>"クライアント名"&amp;FG$1</f>
        <v>クライアント名367</v>
      </c>
      <c r="FH16" s="11">
        <f ca="1">OFFSET(Gemini抽出データ!$A$1,FG15,2)</f>
        <v>0</v>
      </c>
      <c r="FI16" s="11"/>
      <c r="FJ16" s="10" t="str">
        <f>"クライアント名"&amp;FJ$1</f>
        <v>クライアント名368</v>
      </c>
      <c r="FK16" s="11">
        <f ca="1">OFFSET(Gemini抽出データ!$A$1,FJ15,2)</f>
        <v>0</v>
      </c>
      <c r="FL16" s="12"/>
      <c r="FM16" s="10" t="str">
        <f>"クライアント名"&amp;FM$1</f>
        <v>クライアント名393</v>
      </c>
      <c r="FN16" s="11">
        <f ca="1">OFFSET(Gemini抽出データ!$A$1,FM15,2)</f>
        <v>0</v>
      </c>
      <c r="FO16" s="11"/>
      <c r="FP16" s="10" t="str">
        <f>"クライアント名"&amp;FP$1</f>
        <v>クライアント名394</v>
      </c>
      <c r="FQ16" s="11">
        <f ca="1">OFFSET(Gemini抽出データ!$A$1,FP15,2)</f>
        <v>0</v>
      </c>
      <c r="FR16" s="12"/>
      <c r="FS16" s="13" t="str">
        <f>"クライアント名"&amp;FS$1</f>
        <v>クライアント名395</v>
      </c>
      <c r="FT16" s="11">
        <f ca="1">OFFSET(Gemini抽出データ!$A$1,FS15,2)</f>
        <v>0</v>
      </c>
      <c r="FU16" s="11"/>
      <c r="FV16" s="10" t="str">
        <f>"クライアント名"&amp;FV$1</f>
        <v>クライアント名396</v>
      </c>
      <c r="FW16" s="11">
        <f ca="1">OFFSET(Gemini抽出データ!$A$1,FV15,2)</f>
        <v>0</v>
      </c>
      <c r="FX16" s="12"/>
      <c r="FY16" s="10" t="str">
        <f>"クライアント名"&amp;FY$1</f>
        <v>クライアント名421</v>
      </c>
      <c r="FZ16" s="11">
        <f ca="1">OFFSET(Gemini抽出データ!$A$1,FY15,2)</f>
        <v>0</v>
      </c>
      <c r="GA16" s="11"/>
      <c r="GB16" s="10" t="str">
        <f>"クライアント名"&amp;GB$1</f>
        <v>クライアント名422</v>
      </c>
      <c r="GC16" s="11">
        <f ca="1">OFFSET(Gemini抽出データ!$A$1,GB15,2)</f>
        <v>0</v>
      </c>
      <c r="GD16" s="12"/>
      <c r="GE16" s="13" t="str">
        <f>"クライアント名"&amp;GE$1</f>
        <v>クライアント名423</v>
      </c>
      <c r="GF16" s="11">
        <f ca="1">OFFSET(Gemini抽出データ!$A$1,GE15,2)</f>
        <v>0</v>
      </c>
      <c r="GG16" s="11"/>
      <c r="GH16" s="10" t="str">
        <f>"クライアント名"&amp;GH$1</f>
        <v>クライアント名424</v>
      </c>
      <c r="GI16" s="11">
        <f ca="1">OFFSET(Gemini抽出データ!$A$1,GH15,2)</f>
        <v>0</v>
      </c>
      <c r="GJ16" s="12"/>
      <c r="GK16" s="10" t="str">
        <f>"クライアント名"&amp;GK$1</f>
        <v>クライアント名449</v>
      </c>
      <c r="GL16" s="11">
        <f ca="1">OFFSET(Gemini抽出データ!$A$1,GK15,2)</f>
        <v>0</v>
      </c>
      <c r="GM16" s="11"/>
      <c r="GN16" s="10" t="str">
        <f>"クライアント名"&amp;GN$1</f>
        <v>クライアント名450</v>
      </c>
      <c r="GO16" s="11">
        <f ca="1">OFFSET(Gemini抽出データ!$A$1,GN15,2)</f>
        <v>0</v>
      </c>
      <c r="GP16" s="12"/>
      <c r="GQ16" s="13" t="str">
        <f>"クライアント名"&amp;GQ$1</f>
        <v>クライアント名451</v>
      </c>
      <c r="GR16" s="11">
        <f ca="1">OFFSET(Gemini抽出データ!$A$1,GQ15,2)</f>
        <v>0</v>
      </c>
      <c r="GS16" s="11"/>
      <c r="GT16" s="10" t="str">
        <f>"クライアント名"&amp;GT$1</f>
        <v>クライアント名452</v>
      </c>
      <c r="GU16" s="11">
        <f ca="1">OFFSET(Gemini抽出データ!$A$1,GT15,2)</f>
        <v>0</v>
      </c>
      <c r="GV16" s="12"/>
      <c r="GW16" s="10" t="str">
        <f>"クライアント名"&amp;GW$1</f>
        <v>クライアント名477</v>
      </c>
      <c r="GX16" s="11">
        <f ca="1">OFFSET(Gemini抽出データ!$A$1,GW15,2)</f>
        <v>0</v>
      </c>
      <c r="GY16" s="11"/>
      <c r="GZ16" s="10" t="str">
        <f>"クライアント名"&amp;GZ$1</f>
        <v>クライアント名478</v>
      </c>
      <c r="HA16" s="11">
        <f ca="1">OFFSET(Gemini抽出データ!$A$1,GZ15,2)</f>
        <v>0</v>
      </c>
      <c r="HB16" s="12"/>
      <c r="HC16" s="13" t="str">
        <f>"クライアント名"&amp;HC$1</f>
        <v>クライアント名479</v>
      </c>
      <c r="HD16" s="11">
        <f ca="1">OFFSET(Gemini抽出データ!$A$1,HC15,2)</f>
        <v>0</v>
      </c>
      <c r="HE16" s="11"/>
      <c r="HF16" s="10" t="str">
        <f>"クライアント名"&amp;HF$1</f>
        <v>クライアント名480</v>
      </c>
      <c r="HG16" s="11">
        <f ca="1">OFFSET(Gemini抽出データ!$A$1,HF15,2)</f>
        <v>0</v>
      </c>
      <c r="HH16" s="12"/>
      <c r="HI16" s="10" t="str">
        <f>"クライアント名"&amp;HI$1</f>
        <v>クライアント名505</v>
      </c>
      <c r="HJ16" s="11">
        <f ca="1">OFFSET(Gemini抽出データ!$A$1,HI15,2)</f>
        <v>0</v>
      </c>
      <c r="HK16" s="11"/>
      <c r="HL16" s="10" t="str">
        <f>"クライアント名"&amp;HL$1</f>
        <v>クライアント名506</v>
      </c>
      <c r="HM16" s="11">
        <f ca="1">OFFSET(Gemini抽出データ!$A$1,HL15,2)</f>
        <v>0</v>
      </c>
      <c r="HN16" s="12"/>
      <c r="HO16" s="13" t="str">
        <f>"クライアント名"&amp;HO$1</f>
        <v>クライアント名507</v>
      </c>
      <c r="HP16" s="11">
        <f ca="1">OFFSET(Gemini抽出データ!$A$1,HO15,2)</f>
        <v>0</v>
      </c>
      <c r="HQ16" s="11"/>
      <c r="HR16" s="10" t="str">
        <f>"クライアント名"&amp;HR$1</f>
        <v>クライアント名508</v>
      </c>
      <c r="HS16" s="11">
        <f ca="1">OFFSET(Gemini抽出データ!$A$1,HR15,2)</f>
        <v>0</v>
      </c>
      <c r="HT16" s="12"/>
      <c r="HU16" t="e">
        <f ca="1">OFFSET(Gemini抽出データ!$A$1,#REF!,2)</f>
        <v>#REF!</v>
      </c>
    </row>
    <row r="17" spans="1:230" ht="17.100000000000001" customHeight="1" x14ac:dyDescent="0.45">
      <c r="A17" s="10" t="str">
        <f>"種類"&amp;A$1</f>
        <v>種類1</v>
      </c>
      <c r="B17" s="25" t="str">
        <f ca="1">IF(OFFSET(Gemini抽出データ!$A$1,A15,1)=0,"",OFFSET(Gemini抽出データ!$A$1,A15,1))</f>
        <v/>
      </c>
      <c r="C17" s="26"/>
      <c r="D17" s="30" t="str">
        <f>"学年"&amp;D$1</f>
        <v>学年2</v>
      </c>
      <c r="E17" s="25" t="str">
        <f ca="1">IF(OFFSET(Gemini抽出データ!$A$1,D15,1)=0,"",OFFSET(Gemini抽出データ!$A$1,D15,1))</f>
        <v/>
      </c>
      <c r="F17" s="27"/>
      <c r="G17" s="31" t="str">
        <f>"学年"&amp;G$1</f>
        <v>学年3</v>
      </c>
      <c r="H17" s="25" t="str">
        <f ca="1">IF(OFFSET(Gemini抽出データ!$A$1,G15,1)=0,"",OFFSET(Gemini抽出データ!$A$1,G15,1))</f>
        <v/>
      </c>
      <c r="I17" s="26"/>
      <c r="J17" s="30" t="str">
        <f>"学年"&amp;J$1</f>
        <v>学年4</v>
      </c>
      <c r="K17" s="25" t="str">
        <f ca="1">IF(OFFSET(Gemini抽出データ!$A$1,J15,1)=0,"",OFFSET(Gemini抽出データ!$A$1,J15,1))</f>
        <v/>
      </c>
      <c r="L17" s="27"/>
      <c r="M17" s="10" t="str">
        <f>"種類"&amp;M$1</f>
        <v>種類29</v>
      </c>
      <c r="N17" s="25" t="str">
        <f ca="1">IF(OFFSET(Gemini抽出データ!$A$1,M15,1)=0,"",OFFSET(Gemini抽出データ!$A$1,M15,1))</f>
        <v/>
      </c>
      <c r="O17" s="26"/>
      <c r="P17" s="30" t="str">
        <f>"学年"&amp;P$1</f>
        <v>学年30</v>
      </c>
      <c r="Q17" s="25" t="str">
        <f ca="1">IF(OFFSET(Gemini抽出データ!$A$1,P15,1)=0,"",OFFSET(Gemini抽出データ!$A$1,P15,1))</f>
        <v/>
      </c>
      <c r="R17" s="27"/>
      <c r="S17" s="31" t="str">
        <f>"学年"&amp;S$1</f>
        <v>学年31</v>
      </c>
      <c r="T17" s="25" t="str">
        <f ca="1">IF(OFFSET(Gemini抽出データ!$A$1,S15,1)=0,"",OFFSET(Gemini抽出データ!$A$1,S15,1))</f>
        <v/>
      </c>
      <c r="U17" s="26"/>
      <c r="V17" s="30" t="str">
        <f>"学年"&amp;V$1</f>
        <v>学年32</v>
      </c>
      <c r="W17" s="25" t="str">
        <f ca="1">IF(OFFSET(Gemini抽出データ!$A$1,V15,1)=0,"",OFFSET(Gemini抽出データ!$A$1,V15,1))</f>
        <v/>
      </c>
      <c r="X17" s="27"/>
      <c r="Y17" s="10" t="str">
        <f>"種類"&amp;Y$1</f>
        <v>種類57</v>
      </c>
      <c r="Z17" s="25" t="str">
        <f ca="1">IF(OFFSET(Gemini抽出データ!$A$1,Y15,1)=0,"",OFFSET(Gemini抽出データ!$A$1,Y15,1))</f>
        <v/>
      </c>
      <c r="AA17" s="26"/>
      <c r="AB17" s="30" t="str">
        <f>"学年"&amp;AB$1</f>
        <v>学年58</v>
      </c>
      <c r="AC17" s="25" t="str">
        <f ca="1">IF(OFFSET(Gemini抽出データ!$A$1,AB15,1)=0,"",OFFSET(Gemini抽出データ!$A$1,AB15,1))</f>
        <v/>
      </c>
      <c r="AD17" s="27"/>
      <c r="AE17" s="31" t="str">
        <f>"学年"&amp;AE$1</f>
        <v>学年59</v>
      </c>
      <c r="AF17" s="25" t="str">
        <f ca="1">IF(OFFSET(Gemini抽出データ!$A$1,AE15,1)=0,"",OFFSET(Gemini抽出データ!$A$1,AE15,1))</f>
        <v/>
      </c>
      <c r="AG17" s="26"/>
      <c r="AH17" s="30" t="str">
        <f>"学年"&amp;AH$1</f>
        <v>学年60</v>
      </c>
      <c r="AI17" s="25" t="str">
        <f ca="1">IF(OFFSET(Gemini抽出データ!$A$1,AH15,1)=0,"",OFFSET(Gemini抽出データ!$A$1,AH15,1))</f>
        <v/>
      </c>
      <c r="AJ17" s="27"/>
      <c r="AK17" s="10" t="str">
        <f>"種類"&amp;AK$1</f>
        <v>種類85</v>
      </c>
      <c r="AL17" s="25" t="str">
        <f ca="1">IF(OFFSET(Gemini抽出データ!$A$1,AK15,1)=0,"",OFFSET(Gemini抽出データ!$A$1,AK15,1))</f>
        <v/>
      </c>
      <c r="AM17" s="26"/>
      <c r="AN17" s="30" t="str">
        <f>"学年"&amp;AN$1</f>
        <v>学年86</v>
      </c>
      <c r="AO17" s="25" t="str">
        <f ca="1">IF(OFFSET(Gemini抽出データ!$A$1,AN15,1)=0,"",OFFSET(Gemini抽出データ!$A$1,AN15,1))</f>
        <v/>
      </c>
      <c r="AP17" s="27"/>
      <c r="AQ17" s="31" t="str">
        <f>"学年"&amp;AQ$1</f>
        <v>学年87</v>
      </c>
      <c r="AR17" s="25" t="str">
        <f ca="1">IF(OFFSET(Gemini抽出データ!$A$1,AQ15,1)=0,"",OFFSET(Gemini抽出データ!$A$1,AQ15,1))</f>
        <v/>
      </c>
      <c r="AS17" s="26"/>
      <c r="AT17" s="30" t="str">
        <f>"学年"&amp;AT$1</f>
        <v>学年88</v>
      </c>
      <c r="AU17" s="25" t="str">
        <f ca="1">IF(OFFSET(Gemini抽出データ!$A$1,AT15,1)=0,"",OFFSET(Gemini抽出データ!$A$1,AT15,1))</f>
        <v/>
      </c>
      <c r="AV17" s="27"/>
      <c r="AW17" s="10" t="str">
        <f>"種類"&amp;AW$1</f>
        <v>種類113</v>
      </c>
      <c r="AX17" s="25" t="str">
        <f ca="1">IF(OFFSET(Gemini抽出データ!$A$1,AW15,1)=0,"",OFFSET(Gemini抽出データ!$A$1,AW15,1))</f>
        <v/>
      </c>
      <c r="AY17" s="26"/>
      <c r="AZ17" s="30" t="str">
        <f>"学年"&amp;AZ$1</f>
        <v>学年114</v>
      </c>
      <c r="BA17" s="25" t="str">
        <f ca="1">IF(OFFSET(Gemini抽出データ!$A$1,AZ15,1)=0,"",OFFSET(Gemini抽出データ!$A$1,AZ15,1))</f>
        <v/>
      </c>
      <c r="BB17" s="27"/>
      <c r="BC17" s="31" t="str">
        <f>"学年"&amp;BC$1</f>
        <v>学年115</v>
      </c>
      <c r="BD17" s="25" t="str">
        <f ca="1">IF(OFFSET(Gemini抽出データ!$A$1,BC15,1)=0,"",OFFSET(Gemini抽出データ!$A$1,BC15,1))</f>
        <v/>
      </c>
      <c r="BE17" s="26"/>
      <c r="BF17" s="30" t="str">
        <f>"学年"&amp;BF$1</f>
        <v>学年116</v>
      </c>
      <c r="BG17" s="25" t="str">
        <f ca="1">IF(OFFSET(Gemini抽出データ!$A$1,BF15,1)=0,"",OFFSET(Gemini抽出データ!$A$1,BF15,1))</f>
        <v/>
      </c>
      <c r="BH17" s="27"/>
      <c r="BI17" s="10" t="str">
        <f>"種類"&amp;BI$1</f>
        <v>種類141</v>
      </c>
      <c r="BJ17" s="25" t="str">
        <f ca="1">IF(OFFSET(Gemini抽出データ!$A$1,BI15,1)=0,"",OFFSET(Gemini抽出データ!$A$1,BI15,1))</f>
        <v/>
      </c>
      <c r="BK17" s="26"/>
      <c r="BL17" s="30" t="str">
        <f>"学年"&amp;BL$1</f>
        <v>学年142</v>
      </c>
      <c r="BM17" s="25" t="str">
        <f ca="1">IF(OFFSET(Gemini抽出データ!$A$1,BL15,1)=0,"",OFFSET(Gemini抽出データ!$A$1,BL15,1))</f>
        <v/>
      </c>
      <c r="BN17" s="27"/>
      <c r="BO17" s="31" t="str">
        <f>"学年"&amp;BO$1</f>
        <v>学年143</v>
      </c>
      <c r="BP17" s="25" t="str">
        <f ca="1">IF(OFFSET(Gemini抽出データ!$A$1,BO15,1)=0,"",OFFSET(Gemini抽出データ!$A$1,BO15,1))</f>
        <v/>
      </c>
      <c r="BQ17" s="26"/>
      <c r="BR17" s="30" t="str">
        <f>"学年"&amp;BR$1</f>
        <v>学年144</v>
      </c>
      <c r="BS17" s="25" t="str">
        <f ca="1">IF(OFFSET(Gemini抽出データ!$A$1,BR15,1)=0,"",OFFSET(Gemini抽出データ!$A$1,BR15,1))</f>
        <v/>
      </c>
      <c r="BT17" s="27"/>
      <c r="BU17" s="10" t="str">
        <f>"種類"&amp;BU$1</f>
        <v>種類169</v>
      </c>
      <c r="BV17" s="25" t="str">
        <f ca="1">IF(OFFSET(Gemini抽出データ!$A$1,BU15,1)=0,"",OFFSET(Gemini抽出データ!$A$1,BU15,1))</f>
        <v/>
      </c>
      <c r="BW17" s="26"/>
      <c r="BX17" s="30" t="str">
        <f>"学年"&amp;BX$1</f>
        <v>学年170</v>
      </c>
      <c r="BY17" s="25" t="str">
        <f ca="1">IF(OFFSET(Gemini抽出データ!$A$1,BX15,1)=0,"",OFFSET(Gemini抽出データ!$A$1,BX15,1))</f>
        <v/>
      </c>
      <c r="BZ17" s="27"/>
      <c r="CA17" s="31" t="str">
        <f>"学年"&amp;CA$1</f>
        <v>学年171</v>
      </c>
      <c r="CB17" s="25" t="str">
        <f ca="1">IF(OFFSET(Gemini抽出データ!$A$1,CA15,1)=0,"",OFFSET(Gemini抽出データ!$A$1,CA15,1))</f>
        <v/>
      </c>
      <c r="CC17" s="26"/>
      <c r="CD17" s="30" t="str">
        <f>"学年"&amp;CD$1</f>
        <v>学年172</v>
      </c>
      <c r="CE17" s="25" t="str">
        <f ca="1">IF(OFFSET(Gemini抽出データ!$A$1,CD15,1)=0,"",OFFSET(Gemini抽出データ!$A$1,CD15,1))</f>
        <v/>
      </c>
      <c r="CF17" s="27"/>
      <c r="CG17" s="10" t="str">
        <f>"種類"&amp;CG$1</f>
        <v>種類197</v>
      </c>
      <c r="CH17" s="25" t="str">
        <f ca="1">IF(OFFSET(Gemini抽出データ!$A$1,CG15,1)=0,"",OFFSET(Gemini抽出データ!$A$1,CG15,1))</f>
        <v/>
      </c>
      <c r="CI17" s="26"/>
      <c r="CJ17" s="30" t="str">
        <f>"学年"&amp;CJ$1</f>
        <v>学年198</v>
      </c>
      <c r="CK17" s="25" t="str">
        <f ca="1">IF(OFFSET(Gemini抽出データ!$A$1,CJ15,1)=0,"",OFFSET(Gemini抽出データ!$A$1,CJ15,1))</f>
        <v/>
      </c>
      <c r="CL17" s="27"/>
      <c r="CM17" s="31" t="str">
        <f>"学年"&amp;CM$1</f>
        <v>学年199</v>
      </c>
      <c r="CN17" s="25" t="str">
        <f ca="1">IF(OFFSET(Gemini抽出データ!$A$1,CM15,1)=0,"",OFFSET(Gemini抽出データ!$A$1,CM15,1))</f>
        <v/>
      </c>
      <c r="CO17" s="26"/>
      <c r="CP17" s="30" t="str">
        <f>"学年"&amp;CP$1</f>
        <v>学年200</v>
      </c>
      <c r="CQ17" s="25" t="str">
        <f ca="1">IF(OFFSET(Gemini抽出データ!$A$1,CP15,1)=0,"",OFFSET(Gemini抽出データ!$A$1,CP15,1))</f>
        <v/>
      </c>
      <c r="CR17" s="27"/>
      <c r="CS17" s="10" t="str">
        <f>"種類"&amp;CS$1</f>
        <v>種類225</v>
      </c>
      <c r="CT17" s="25" t="str">
        <f ca="1">IF(OFFSET(Gemini抽出データ!$A$1,CS15,1)=0,"",OFFSET(Gemini抽出データ!$A$1,CS15,1))</f>
        <v/>
      </c>
      <c r="CU17" s="26"/>
      <c r="CV17" s="30" t="str">
        <f>"学年"&amp;CV$1</f>
        <v>学年226</v>
      </c>
      <c r="CW17" s="25" t="str">
        <f ca="1">IF(OFFSET(Gemini抽出データ!$A$1,CV15,1)=0,"",OFFSET(Gemini抽出データ!$A$1,CV15,1))</f>
        <v/>
      </c>
      <c r="CX17" s="27"/>
      <c r="CY17" s="31" t="str">
        <f>"学年"&amp;CY$1</f>
        <v>学年227</v>
      </c>
      <c r="CZ17" s="25" t="str">
        <f ca="1">IF(OFFSET(Gemini抽出データ!$A$1,CY15,1)=0,"",OFFSET(Gemini抽出データ!$A$1,CY15,1))</f>
        <v/>
      </c>
      <c r="DA17" s="26"/>
      <c r="DB17" s="30" t="str">
        <f>"学年"&amp;DB$1</f>
        <v>学年228</v>
      </c>
      <c r="DC17" s="25" t="str">
        <f ca="1">IF(OFFSET(Gemini抽出データ!$A$1,DB15,1)=0,"",OFFSET(Gemini抽出データ!$A$1,DB15,1))</f>
        <v/>
      </c>
      <c r="DD17" s="27"/>
      <c r="DE17" s="10" t="str">
        <f>"種類"&amp;DE$1</f>
        <v>種類253</v>
      </c>
      <c r="DF17" s="25" t="str">
        <f ca="1">IF(OFFSET(Gemini抽出データ!$A$1,DE15,1)=0,"",OFFSET(Gemini抽出データ!$A$1,DE15,1))</f>
        <v/>
      </c>
      <c r="DG17" s="26"/>
      <c r="DH17" s="30" t="str">
        <f>"学年"&amp;DH$1</f>
        <v>学年254</v>
      </c>
      <c r="DI17" s="25" t="str">
        <f ca="1">IF(OFFSET(Gemini抽出データ!$A$1,DH15,1)=0,"",OFFSET(Gemini抽出データ!$A$1,DH15,1))</f>
        <v/>
      </c>
      <c r="DJ17" s="27"/>
      <c r="DK17" s="31" t="str">
        <f>"学年"&amp;DK$1</f>
        <v>学年255</v>
      </c>
      <c r="DL17" s="25" t="str">
        <f ca="1">IF(OFFSET(Gemini抽出データ!$A$1,DK15,1)=0,"",OFFSET(Gemini抽出データ!$A$1,DK15,1))</f>
        <v/>
      </c>
      <c r="DM17" s="26"/>
      <c r="DN17" s="30" t="str">
        <f>"学年"&amp;DN$1</f>
        <v>学年256</v>
      </c>
      <c r="DO17" s="25" t="str">
        <f ca="1">IF(OFFSET(Gemini抽出データ!$A$1,DN15,1)=0,"",OFFSET(Gemini抽出データ!$A$1,DN15,1))</f>
        <v/>
      </c>
      <c r="DP17" s="27"/>
      <c r="DQ17" s="10" t="str">
        <f>"種類"&amp;DQ$1</f>
        <v>種類281</v>
      </c>
      <c r="DR17" s="25" t="str">
        <f ca="1">IF(OFFSET(Gemini抽出データ!$A$1,DQ15,1)=0,"",OFFSET(Gemini抽出データ!$A$1,DQ15,1))</f>
        <v/>
      </c>
      <c r="DS17" s="26"/>
      <c r="DT17" s="30" t="str">
        <f>"学年"&amp;DT$1</f>
        <v>学年282</v>
      </c>
      <c r="DU17" s="25" t="str">
        <f ca="1">IF(OFFSET(Gemini抽出データ!$A$1,DT15,1)=0,"",OFFSET(Gemini抽出データ!$A$1,DT15,1))</f>
        <v/>
      </c>
      <c r="DV17" s="27"/>
      <c r="DW17" s="31" t="str">
        <f>"学年"&amp;DW$1</f>
        <v>学年283</v>
      </c>
      <c r="DX17" s="25" t="str">
        <f ca="1">IF(OFFSET(Gemini抽出データ!$A$1,DW15,1)=0,"",OFFSET(Gemini抽出データ!$A$1,DW15,1))</f>
        <v/>
      </c>
      <c r="DY17" s="26"/>
      <c r="DZ17" s="30" t="str">
        <f>"学年"&amp;DZ$1</f>
        <v>学年284</v>
      </c>
      <c r="EA17" s="25" t="str">
        <f ca="1">IF(OFFSET(Gemini抽出データ!$A$1,DZ15,1)=0,"",OFFSET(Gemini抽出データ!$A$1,DZ15,1))</f>
        <v/>
      </c>
      <c r="EB17" s="27"/>
      <c r="EC17" s="10" t="str">
        <f>"種類"&amp;EC$1</f>
        <v>種類309</v>
      </c>
      <c r="ED17" s="25" t="str">
        <f ca="1">IF(OFFSET(Gemini抽出データ!$A$1,EC15,1)=0,"",OFFSET(Gemini抽出データ!$A$1,EC15,1))</f>
        <v/>
      </c>
      <c r="EE17" s="26"/>
      <c r="EF17" s="30" t="str">
        <f>"学年"&amp;EF$1</f>
        <v>学年310</v>
      </c>
      <c r="EG17" s="25" t="str">
        <f ca="1">IF(OFFSET(Gemini抽出データ!$A$1,EF15,1)=0,"",OFFSET(Gemini抽出データ!$A$1,EF15,1))</f>
        <v/>
      </c>
      <c r="EH17" s="27"/>
      <c r="EI17" s="31" t="str">
        <f>"学年"&amp;EI$1</f>
        <v>学年311</v>
      </c>
      <c r="EJ17" s="25" t="str">
        <f ca="1">IF(OFFSET(Gemini抽出データ!$A$1,EI15,1)=0,"",OFFSET(Gemini抽出データ!$A$1,EI15,1))</f>
        <v/>
      </c>
      <c r="EK17" s="26"/>
      <c r="EL17" s="30" t="str">
        <f>"学年"&amp;EL$1</f>
        <v>学年312</v>
      </c>
      <c r="EM17" s="25" t="str">
        <f ca="1">IF(OFFSET(Gemini抽出データ!$A$1,EL15,1)=0,"",OFFSET(Gemini抽出データ!$A$1,EL15,1))</f>
        <v/>
      </c>
      <c r="EN17" s="27"/>
      <c r="EO17" s="10" t="str">
        <f>"種類"&amp;EO$1</f>
        <v>種類337</v>
      </c>
      <c r="EP17" s="25" t="str">
        <f ca="1">IF(OFFSET(Gemini抽出データ!$A$1,EO15,1)=0,"",OFFSET(Gemini抽出データ!$A$1,EO15,1))</f>
        <v/>
      </c>
      <c r="EQ17" s="26"/>
      <c r="ER17" s="30" t="str">
        <f>"学年"&amp;ER$1</f>
        <v>学年338</v>
      </c>
      <c r="ES17" s="25" t="str">
        <f ca="1">IF(OFFSET(Gemini抽出データ!$A$1,ER15,1)=0,"",OFFSET(Gemini抽出データ!$A$1,ER15,1))</f>
        <v/>
      </c>
      <c r="ET17" s="27"/>
      <c r="EU17" s="31" t="str">
        <f>"学年"&amp;EU$1</f>
        <v>学年339</v>
      </c>
      <c r="EV17" s="25" t="str">
        <f ca="1">IF(OFFSET(Gemini抽出データ!$A$1,EU15,1)=0,"",OFFSET(Gemini抽出データ!$A$1,EU15,1))</f>
        <v/>
      </c>
      <c r="EW17" s="26"/>
      <c r="EX17" s="30" t="str">
        <f>"学年"&amp;EX$1</f>
        <v>学年340</v>
      </c>
      <c r="EY17" s="25" t="str">
        <f ca="1">IF(OFFSET(Gemini抽出データ!$A$1,EX15,1)=0,"",OFFSET(Gemini抽出データ!$A$1,EX15,1))</f>
        <v/>
      </c>
      <c r="EZ17" s="27"/>
      <c r="FA17" s="10" t="str">
        <f>"種類"&amp;FA$1</f>
        <v>種類365</v>
      </c>
      <c r="FB17" s="25" t="str">
        <f ca="1">IF(OFFSET(Gemini抽出データ!$A$1,FA15,1)=0,"",OFFSET(Gemini抽出データ!$A$1,FA15,1))</f>
        <v/>
      </c>
      <c r="FC17" s="26"/>
      <c r="FD17" s="30" t="str">
        <f>"学年"&amp;FD$1</f>
        <v>学年366</v>
      </c>
      <c r="FE17" s="25" t="str">
        <f ca="1">IF(OFFSET(Gemini抽出データ!$A$1,FD15,1)=0,"",OFFSET(Gemini抽出データ!$A$1,FD15,1))</f>
        <v/>
      </c>
      <c r="FF17" s="27"/>
      <c r="FG17" s="31" t="str">
        <f>"学年"&amp;FG$1</f>
        <v>学年367</v>
      </c>
      <c r="FH17" s="25" t="str">
        <f ca="1">IF(OFFSET(Gemini抽出データ!$A$1,FG15,1)=0,"",OFFSET(Gemini抽出データ!$A$1,FG15,1))</f>
        <v/>
      </c>
      <c r="FI17" s="26"/>
      <c r="FJ17" s="30" t="str">
        <f>"学年"&amp;FJ$1</f>
        <v>学年368</v>
      </c>
      <c r="FK17" s="25" t="str">
        <f ca="1">IF(OFFSET(Gemini抽出データ!$A$1,FJ15,1)=0,"",OFFSET(Gemini抽出データ!$A$1,FJ15,1))</f>
        <v/>
      </c>
      <c r="FL17" s="27"/>
      <c r="FM17" s="10" t="str">
        <f>"種類"&amp;FM$1</f>
        <v>種類393</v>
      </c>
      <c r="FN17" s="25" t="str">
        <f ca="1">IF(OFFSET(Gemini抽出データ!$A$1,FM15,1)=0,"",OFFSET(Gemini抽出データ!$A$1,FM15,1))</f>
        <v/>
      </c>
      <c r="FO17" s="26"/>
      <c r="FP17" s="30" t="str">
        <f>"学年"&amp;FP$1</f>
        <v>学年394</v>
      </c>
      <c r="FQ17" s="25" t="str">
        <f ca="1">IF(OFFSET(Gemini抽出データ!$A$1,FP15,1)=0,"",OFFSET(Gemini抽出データ!$A$1,FP15,1))</f>
        <v/>
      </c>
      <c r="FR17" s="27"/>
      <c r="FS17" s="31" t="str">
        <f>"学年"&amp;FS$1</f>
        <v>学年395</v>
      </c>
      <c r="FT17" s="25" t="str">
        <f ca="1">IF(OFFSET(Gemini抽出データ!$A$1,FS15,1)=0,"",OFFSET(Gemini抽出データ!$A$1,FS15,1))</f>
        <v/>
      </c>
      <c r="FU17" s="26"/>
      <c r="FV17" s="30" t="str">
        <f>"学年"&amp;FV$1</f>
        <v>学年396</v>
      </c>
      <c r="FW17" s="25" t="str">
        <f ca="1">IF(OFFSET(Gemini抽出データ!$A$1,FV15,1)=0,"",OFFSET(Gemini抽出データ!$A$1,FV15,1))</f>
        <v/>
      </c>
      <c r="FX17" s="27"/>
      <c r="FY17" s="10" t="str">
        <f>"種類"&amp;FY$1</f>
        <v>種類421</v>
      </c>
      <c r="FZ17" s="25" t="str">
        <f ca="1">IF(OFFSET(Gemini抽出データ!$A$1,FY15,1)=0,"",OFFSET(Gemini抽出データ!$A$1,FY15,1))</f>
        <v/>
      </c>
      <c r="GA17" s="26"/>
      <c r="GB17" s="30" t="str">
        <f>"学年"&amp;GB$1</f>
        <v>学年422</v>
      </c>
      <c r="GC17" s="25" t="str">
        <f ca="1">IF(OFFSET(Gemini抽出データ!$A$1,GB15,1)=0,"",OFFSET(Gemini抽出データ!$A$1,GB15,1))</f>
        <v/>
      </c>
      <c r="GD17" s="27"/>
      <c r="GE17" s="31" t="str">
        <f>"学年"&amp;GE$1</f>
        <v>学年423</v>
      </c>
      <c r="GF17" s="25" t="str">
        <f ca="1">IF(OFFSET(Gemini抽出データ!$A$1,GE15,1)=0,"",OFFSET(Gemini抽出データ!$A$1,GE15,1))</f>
        <v/>
      </c>
      <c r="GG17" s="26"/>
      <c r="GH17" s="30" t="str">
        <f>"学年"&amp;GH$1</f>
        <v>学年424</v>
      </c>
      <c r="GI17" s="25" t="str">
        <f ca="1">IF(OFFSET(Gemini抽出データ!$A$1,GH15,1)=0,"",OFFSET(Gemini抽出データ!$A$1,GH15,1))</f>
        <v/>
      </c>
      <c r="GJ17" s="27"/>
      <c r="GK17" s="10" t="str">
        <f>"種類"&amp;GK$1</f>
        <v>種類449</v>
      </c>
      <c r="GL17" s="25" t="str">
        <f ca="1">IF(OFFSET(Gemini抽出データ!$A$1,GK15,1)=0,"",OFFSET(Gemini抽出データ!$A$1,GK15,1))</f>
        <v/>
      </c>
      <c r="GM17" s="26"/>
      <c r="GN17" s="30" t="str">
        <f>"学年"&amp;GN$1</f>
        <v>学年450</v>
      </c>
      <c r="GO17" s="25" t="str">
        <f ca="1">IF(OFFSET(Gemini抽出データ!$A$1,GN15,1)=0,"",OFFSET(Gemini抽出データ!$A$1,GN15,1))</f>
        <v/>
      </c>
      <c r="GP17" s="27"/>
      <c r="GQ17" s="31" t="str">
        <f>"学年"&amp;GQ$1</f>
        <v>学年451</v>
      </c>
      <c r="GR17" s="25" t="str">
        <f ca="1">IF(OFFSET(Gemini抽出データ!$A$1,GQ15,1)=0,"",OFFSET(Gemini抽出データ!$A$1,GQ15,1))</f>
        <v/>
      </c>
      <c r="GS17" s="26"/>
      <c r="GT17" s="30" t="str">
        <f>"学年"&amp;GT$1</f>
        <v>学年452</v>
      </c>
      <c r="GU17" s="25" t="str">
        <f ca="1">IF(OFFSET(Gemini抽出データ!$A$1,GT15,1)=0,"",OFFSET(Gemini抽出データ!$A$1,GT15,1))</f>
        <v/>
      </c>
      <c r="GV17" s="27"/>
      <c r="GW17" s="10" t="str">
        <f>"種類"&amp;GW$1</f>
        <v>種類477</v>
      </c>
      <c r="GX17" s="25" t="str">
        <f ca="1">IF(OFFSET(Gemini抽出データ!$A$1,GW15,1)=0,"",OFFSET(Gemini抽出データ!$A$1,GW15,1))</f>
        <v/>
      </c>
      <c r="GY17" s="26"/>
      <c r="GZ17" s="30" t="str">
        <f>"学年"&amp;GZ$1</f>
        <v>学年478</v>
      </c>
      <c r="HA17" s="25" t="str">
        <f ca="1">IF(OFFSET(Gemini抽出データ!$A$1,GZ15,1)=0,"",OFFSET(Gemini抽出データ!$A$1,GZ15,1))</f>
        <v/>
      </c>
      <c r="HB17" s="27"/>
      <c r="HC17" s="31" t="str">
        <f>"学年"&amp;HC$1</f>
        <v>学年479</v>
      </c>
      <c r="HD17" s="25" t="str">
        <f ca="1">IF(OFFSET(Gemini抽出データ!$A$1,HC15,1)=0,"",OFFSET(Gemini抽出データ!$A$1,HC15,1))</f>
        <v/>
      </c>
      <c r="HE17" s="26"/>
      <c r="HF17" s="30" t="str">
        <f>"学年"&amp;HF$1</f>
        <v>学年480</v>
      </c>
      <c r="HG17" s="25" t="str">
        <f ca="1">IF(OFFSET(Gemini抽出データ!$A$1,HF15,1)=0,"",OFFSET(Gemini抽出データ!$A$1,HF15,1))</f>
        <v/>
      </c>
      <c r="HH17" s="27"/>
      <c r="HI17" s="10" t="str">
        <f>"種類"&amp;HI$1</f>
        <v>種類505</v>
      </c>
      <c r="HJ17" s="25" t="str">
        <f ca="1">IF(OFFSET(Gemini抽出データ!$A$1,HI15,1)=0,"",OFFSET(Gemini抽出データ!$A$1,HI15,1))</f>
        <v/>
      </c>
      <c r="HK17" s="26"/>
      <c r="HL17" s="30" t="str">
        <f>"学年"&amp;HL$1</f>
        <v>学年506</v>
      </c>
      <c r="HM17" s="25" t="str">
        <f ca="1">IF(OFFSET(Gemini抽出データ!$A$1,HL15,1)=0,"",OFFSET(Gemini抽出データ!$A$1,HL15,1))</f>
        <v/>
      </c>
      <c r="HN17" s="27"/>
      <c r="HO17" s="31" t="str">
        <f>"学年"&amp;HO$1</f>
        <v>学年507</v>
      </c>
      <c r="HP17" s="25" t="str">
        <f ca="1">IF(OFFSET(Gemini抽出データ!$A$1,HO15,1)=0,"",OFFSET(Gemini抽出データ!$A$1,HO15,1))</f>
        <v/>
      </c>
      <c r="HQ17" s="26"/>
      <c r="HR17" s="30" t="str">
        <f>"学年"&amp;HR$1</f>
        <v>学年508</v>
      </c>
      <c r="HS17" s="25" t="str">
        <f ca="1">IF(OFFSET(Gemini抽出データ!$A$1,HR15,1)=0,"",OFFSET(Gemini抽出データ!$A$1,HR15,1))</f>
        <v/>
      </c>
      <c r="HT17" s="27"/>
      <c r="HU17" s="2" t="e">
        <f ca="1">IF(OFFSET(Gemini抽出データ!$A$1,#REF!,1)=0,"",OFFSET(Gemini抽出データ!$A$1,#REF!,1))</f>
        <v>#REF!</v>
      </c>
      <c r="HV17" s="3"/>
    </row>
    <row r="18" spans="1:230" ht="17.100000000000001" customHeight="1" x14ac:dyDescent="0.45">
      <c r="A18" s="10" t="str">
        <f>"学年"&amp;A$1</f>
        <v>学年1</v>
      </c>
      <c r="B18" s="26"/>
      <c r="C18" s="26"/>
      <c r="D18" s="30"/>
      <c r="E18" s="26"/>
      <c r="F18" s="27"/>
      <c r="G18" s="31"/>
      <c r="H18" s="26"/>
      <c r="I18" s="26"/>
      <c r="J18" s="30"/>
      <c r="K18" s="26"/>
      <c r="L18" s="27"/>
      <c r="M18" s="10" t="str">
        <f>"学年"&amp;M$1</f>
        <v>学年29</v>
      </c>
      <c r="N18" s="26"/>
      <c r="O18" s="26"/>
      <c r="P18" s="30"/>
      <c r="Q18" s="26"/>
      <c r="R18" s="27"/>
      <c r="S18" s="31"/>
      <c r="T18" s="26"/>
      <c r="U18" s="26"/>
      <c r="V18" s="30"/>
      <c r="W18" s="26"/>
      <c r="X18" s="27"/>
      <c r="Y18" s="10" t="str">
        <f>"学年"&amp;Y$1</f>
        <v>学年57</v>
      </c>
      <c r="Z18" s="26"/>
      <c r="AA18" s="26"/>
      <c r="AB18" s="30"/>
      <c r="AC18" s="26"/>
      <c r="AD18" s="27"/>
      <c r="AE18" s="31"/>
      <c r="AF18" s="26"/>
      <c r="AG18" s="26"/>
      <c r="AH18" s="30"/>
      <c r="AI18" s="26"/>
      <c r="AJ18" s="27"/>
      <c r="AK18" s="10" t="str">
        <f>"学年"&amp;AK$1</f>
        <v>学年85</v>
      </c>
      <c r="AL18" s="26"/>
      <c r="AM18" s="26"/>
      <c r="AN18" s="30"/>
      <c r="AO18" s="26"/>
      <c r="AP18" s="27"/>
      <c r="AQ18" s="31"/>
      <c r="AR18" s="26"/>
      <c r="AS18" s="26"/>
      <c r="AT18" s="30"/>
      <c r="AU18" s="26"/>
      <c r="AV18" s="27"/>
      <c r="AW18" s="10" t="str">
        <f>"学年"&amp;AW$1</f>
        <v>学年113</v>
      </c>
      <c r="AX18" s="26"/>
      <c r="AY18" s="26"/>
      <c r="AZ18" s="30"/>
      <c r="BA18" s="26"/>
      <c r="BB18" s="27"/>
      <c r="BC18" s="31"/>
      <c r="BD18" s="26"/>
      <c r="BE18" s="26"/>
      <c r="BF18" s="30"/>
      <c r="BG18" s="26"/>
      <c r="BH18" s="27"/>
      <c r="BI18" s="10" t="str">
        <f>"学年"&amp;BI$1</f>
        <v>学年141</v>
      </c>
      <c r="BJ18" s="26"/>
      <c r="BK18" s="26"/>
      <c r="BL18" s="30"/>
      <c r="BM18" s="26"/>
      <c r="BN18" s="27"/>
      <c r="BO18" s="31"/>
      <c r="BP18" s="26"/>
      <c r="BQ18" s="26"/>
      <c r="BR18" s="30"/>
      <c r="BS18" s="26"/>
      <c r="BT18" s="27"/>
      <c r="BU18" s="10" t="str">
        <f>"学年"&amp;BU$1</f>
        <v>学年169</v>
      </c>
      <c r="BV18" s="26"/>
      <c r="BW18" s="26"/>
      <c r="BX18" s="30"/>
      <c r="BY18" s="26"/>
      <c r="BZ18" s="27"/>
      <c r="CA18" s="31"/>
      <c r="CB18" s="26"/>
      <c r="CC18" s="26"/>
      <c r="CD18" s="30"/>
      <c r="CE18" s="26"/>
      <c r="CF18" s="27"/>
      <c r="CG18" s="10" t="str">
        <f>"学年"&amp;CG$1</f>
        <v>学年197</v>
      </c>
      <c r="CH18" s="26"/>
      <c r="CI18" s="26"/>
      <c r="CJ18" s="30"/>
      <c r="CK18" s="26"/>
      <c r="CL18" s="27"/>
      <c r="CM18" s="31"/>
      <c r="CN18" s="26"/>
      <c r="CO18" s="26"/>
      <c r="CP18" s="30"/>
      <c r="CQ18" s="26"/>
      <c r="CR18" s="27"/>
      <c r="CS18" s="10" t="str">
        <f>"学年"&amp;CS$1</f>
        <v>学年225</v>
      </c>
      <c r="CT18" s="26"/>
      <c r="CU18" s="26"/>
      <c r="CV18" s="30"/>
      <c r="CW18" s="26"/>
      <c r="CX18" s="27"/>
      <c r="CY18" s="31"/>
      <c r="CZ18" s="26"/>
      <c r="DA18" s="26"/>
      <c r="DB18" s="30"/>
      <c r="DC18" s="26"/>
      <c r="DD18" s="27"/>
      <c r="DE18" s="10" t="str">
        <f>"学年"&amp;DE$1</f>
        <v>学年253</v>
      </c>
      <c r="DF18" s="26"/>
      <c r="DG18" s="26"/>
      <c r="DH18" s="30"/>
      <c r="DI18" s="26"/>
      <c r="DJ18" s="27"/>
      <c r="DK18" s="31"/>
      <c r="DL18" s="26"/>
      <c r="DM18" s="26"/>
      <c r="DN18" s="30"/>
      <c r="DO18" s="26"/>
      <c r="DP18" s="27"/>
      <c r="DQ18" s="10" t="str">
        <f>"学年"&amp;DQ$1</f>
        <v>学年281</v>
      </c>
      <c r="DR18" s="26"/>
      <c r="DS18" s="26"/>
      <c r="DT18" s="30"/>
      <c r="DU18" s="26"/>
      <c r="DV18" s="27"/>
      <c r="DW18" s="31"/>
      <c r="DX18" s="26"/>
      <c r="DY18" s="26"/>
      <c r="DZ18" s="30"/>
      <c r="EA18" s="26"/>
      <c r="EB18" s="27"/>
      <c r="EC18" s="10" t="str">
        <f>"学年"&amp;EC$1</f>
        <v>学年309</v>
      </c>
      <c r="ED18" s="26"/>
      <c r="EE18" s="26"/>
      <c r="EF18" s="30"/>
      <c r="EG18" s="26"/>
      <c r="EH18" s="27"/>
      <c r="EI18" s="31"/>
      <c r="EJ18" s="26"/>
      <c r="EK18" s="26"/>
      <c r="EL18" s="30"/>
      <c r="EM18" s="26"/>
      <c r="EN18" s="27"/>
      <c r="EO18" s="10" t="str">
        <f>"学年"&amp;EO$1</f>
        <v>学年337</v>
      </c>
      <c r="EP18" s="26"/>
      <c r="EQ18" s="26"/>
      <c r="ER18" s="30"/>
      <c r="ES18" s="26"/>
      <c r="ET18" s="27"/>
      <c r="EU18" s="31"/>
      <c r="EV18" s="26"/>
      <c r="EW18" s="26"/>
      <c r="EX18" s="30"/>
      <c r="EY18" s="26"/>
      <c r="EZ18" s="27"/>
      <c r="FA18" s="10" t="str">
        <f>"学年"&amp;FA$1</f>
        <v>学年365</v>
      </c>
      <c r="FB18" s="26"/>
      <c r="FC18" s="26"/>
      <c r="FD18" s="30"/>
      <c r="FE18" s="26"/>
      <c r="FF18" s="27"/>
      <c r="FG18" s="31"/>
      <c r="FH18" s="26"/>
      <c r="FI18" s="26"/>
      <c r="FJ18" s="30"/>
      <c r="FK18" s="26"/>
      <c r="FL18" s="27"/>
      <c r="FM18" s="10" t="str">
        <f>"学年"&amp;FM$1</f>
        <v>学年393</v>
      </c>
      <c r="FN18" s="26"/>
      <c r="FO18" s="26"/>
      <c r="FP18" s="30"/>
      <c r="FQ18" s="26"/>
      <c r="FR18" s="27"/>
      <c r="FS18" s="31"/>
      <c r="FT18" s="26"/>
      <c r="FU18" s="26"/>
      <c r="FV18" s="30"/>
      <c r="FW18" s="26"/>
      <c r="FX18" s="27"/>
      <c r="FY18" s="10" t="str">
        <f>"学年"&amp;FY$1</f>
        <v>学年421</v>
      </c>
      <c r="FZ18" s="26"/>
      <c r="GA18" s="26"/>
      <c r="GB18" s="30"/>
      <c r="GC18" s="26"/>
      <c r="GD18" s="27"/>
      <c r="GE18" s="31"/>
      <c r="GF18" s="26"/>
      <c r="GG18" s="26"/>
      <c r="GH18" s="30"/>
      <c r="GI18" s="26"/>
      <c r="GJ18" s="27"/>
      <c r="GK18" s="10" t="str">
        <f>"学年"&amp;GK$1</f>
        <v>学年449</v>
      </c>
      <c r="GL18" s="26"/>
      <c r="GM18" s="26"/>
      <c r="GN18" s="30"/>
      <c r="GO18" s="26"/>
      <c r="GP18" s="27"/>
      <c r="GQ18" s="31"/>
      <c r="GR18" s="26"/>
      <c r="GS18" s="26"/>
      <c r="GT18" s="30"/>
      <c r="GU18" s="26"/>
      <c r="GV18" s="27"/>
      <c r="GW18" s="10" t="str">
        <f>"学年"&amp;GW$1</f>
        <v>学年477</v>
      </c>
      <c r="GX18" s="26"/>
      <c r="GY18" s="26"/>
      <c r="GZ18" s="30"/>
      <c r="HA18" s="26"/>
      <c r="HB18" s="27"/>
      <c r="HC18" s="31"/>
      <c r="HD18" s="26"/>
      <c r="HE18" s="26"/>
      <c r="HF18" s="30"/>
      <c r="HG18" s="26"/>
      <c r="HH18" s="27"/>
      <c r="HI18" s="10" t="str">
        <f>"学年"&amp;HI$1</f>
        <v>学年505</v>
      </c>
      <c r="HJ18" s="26"/>
      <c r="HK18" s="26"/>
      <c r="HL18" s="30"/>
      <c r="HM18" s="26"/>
      <c r="HN18" s="27"/>
      <c r="HO18" s="31"/>
      <c r="HP18" s="26"/>
      <c r="HQ18" s="26"/>
      <c r="HR18" s="30"/>
      <c r="HS18" s="26"/>
      <c r="HT18" s="27"/>
      <c r="HU18" s="3"/>
      <c r="HV18" s="3"/>
    </row>
    <row r="19" spans="1:230" ht="17.100000000000001" customHeight="1" x14ac:dyDescent="0.45">
      <c r="A19" s="10"/>
      <c r="B19" s="22">
        <f ca="1">OFFSET(Gemini抽出データ!$A$1,A15,3)</f>
        <v>0</v>
      </c>
      <c r="C19" s="23"/>
      <c r="D19" s="28"/>
      <c r="E19" s="22">
        <f ca="1">OFFSET(Gemini抽出データ!$A$1,D15,3)</f>
        <v>0</v>
      </c>
      <c r="F19" s="24"/>
      <c r="G19" s="29"/>
      <c r="H19" s="22">
        <f ca="1">OFFSET(Gemini抽出データ!$A$1,G15,3)</f>
        <v>0</v>
      </c>
      <c r="I19" s="23"/>
      <c r="J19" s="28"/>
      <c r="K19" s="22">
        <f ca="1">OFFSET(Gemini抽出データ!$A$1,J15,3)</f>
        <v>0</v>
      </c>
      <c r="L19" s="24"/>
      <c r="M19" s="10"/>
      <c r="N19" s="22">
        <f ca="1">OFFSET(Gemini抽出データ!$A$1,M15,3)</f>
        <v>0</v>
      </c>
      <c r="O19" s="23"/>
      <c r="P19" s="28"/>
      <c r="Q19" s="22">
        <f ca="1">OFFSET(Gemini抽出データ!$A$1,P15,3)</f>
        <v>0</v>
      </c>
      <c r="R19" s="24"/>
      <c r="S19" s="29"/>
      <c r="T19" s="22">
        <f ca="1">OFFSET(Gemini抽出データ!$A$1,S15,3)</f>
        <v>0</v>
      </c>
      <c r="U19" s="23"/>
      <c r="V19" s="28"/>
      <c r="W19" s="22">
        <f ca="1">OFFSET(Gemini抽出データ!$A$1,V15,3)</f>
        <v>0</v>
      </c>
      <c r="X19" s="24"/>
      <c r="Y19" s="10"/>
      <c r="Z19" s="22">
        <f ca="1">OFFSET(Gemini抽出データ!$A$1,Y15,3)</f>
        <v>0</v>
      </c>
      <c r="AA19" s="23"/>
      <c r="AB19" s="28"/>
      <c r="AC19" s="22">
        <f ca="1">OFFSET(Gemini抽出データ!$A$1,AB15,3)</f>
        <v>0</v>
      </c>
      <c r="AD19" s="24"/>
      <c r="AE19" s="29"/>
      <c r="AF19" s="22">
        <f ca="1">OFFSET(Gemini抽出データ!$A$1,AE15,3)</f>
        <v>0</v>
      </c>
      <c r="AG19" s="23"/>
      <c r="AH19" s="28"/>
      <c r="AI19" s="22">
        <f ca="1">OFFSET(Gemini抽出データ!$A$1,AH15,3)</f>
        <v>0</v>
      </c>
      <c r="AJ19" s="24"/>
      <c r="AK19" s="10"/>
      <c r="AL19" s="22">
        <f ca="1">OFFSET(Gemini抽出データ!$A$1,AK15,3)</f>
        <v>0</v>
      </c>
      <c r="AM19" s="23"/>
      <c r="AN19" s="28"/>
      <c r="AO19" s="22">
        <f ca="1">OFFSET(Gemini抽出データ!$A$1,AN15,3)</f>
        <v>0</v>
      </c>
      <c r="AP19" s="24"/>
      <c r="AQ19" s="29"/>
      <c r="AR19" s="22">
        <f ca="1">OFFSET(Gemini抽出データ!$A$1,AQ15,3)</f>
        <v>0</v>
      </c>
      <c r="AS19" s="23"/>
      <c r="AT19" s="28"/>
      <c r="AU19" s="22">
        <f ca="1">OFFSET(Gemini抽出データ!$A$1,AT15,3)</f>
        <v>0</v>
      </c>
      <c r="AV19" s="24"/>
      <c r="AW19" s="10"/>
      <c r="AX19" s="22">
        <f ca="1">OFFSET(Gemini抽出データ!$A$1,AW15,3)</f>
        <v>0</v>
      </c>
      <c r="AY19" s="23"/>
      <c r="AZ19" s="28"/>
      <c r="BA19" s="22">
        <f ca="1">OFFSET(Gemini抽出データ!$A$1,AZ15,3)</f>
        <v>0</v>
      </c>
      <c r="BB19" s="24"/>
      <c r="BC19" s="29"/>
      <c r="BD19" s="22">
        <f ca="1">OFFSET(Gemini抽出データ!$A$1,BC15,3)</f>
        <v>0</v>
      </c>
      <c r="BE19" s="23"/>
      <c r="BF19" s="28"/>
      <c r="BG19" s="22">
        <f ca="1">OFFSET(Gemini抽出データ!$A$1,BF15,3)</f>
        <v>0</v>
      </c>
      <c r="BH19" s="24"/>
      <c r="BI19" s="10"/>
      <c r="BJ19" s="22">
        <f ca="1">OFFSET(Gemini抽出データ!$A$1,BI15,3)</f>
        <v>0</v>
      </c>
      <c r="BK19" s="23"/>
      <c r="BL19" s="28"/>
      <c r="BM19" s="22">
        <f ca="1">OFFSET(Gemini抽出データ!$A$1,BL15,3)</f>
        <v>0</v>
      </c>
      <c r="BN19" s="24"/>
      <c r="BO19" s="29"/>
      <c r="BP19" s="22">
        <f ca="1">OFFSET(Gemini抽出データ!$A$1,BO15,3)</f>
        <v>0</v>
      </c>
      <c r="BQ19" s="23"/>
      <c r="BR19" s="28"/>
      <c r="BS19" s="22">
        <f ca="1">OFFSET(Gemini抽出データ!$A$1,BR15,3)</f>
        <v>0</v>
      </c>
      <c r="BT19" s="24"/>
      <c r="BU19" s="10"/>
      <c r="BV19" s="22">
        <f ca="1">OFFSET(Gemini抽出データ!$A$1,BU15,3)</f>
        <v>0</v>
      </c>
      <c r="BW19" s="23"/>
      <c r="BX19" s="28"/>
      <c r="BY19" s="22">
        <f ca="1">OFFSET(Gemini抽出データ!$A$1,BX15,3)</f>
        <v>0</v>
      </c>
      <c r="BZ19" s="24"/>
      <c r="CA19" s="29"/>
      <c r="CB19" s="22">
        <f ca="1">OFFSET(Gemini抽出データ!$A$1,CA15,3)</f>
        <v>0</v>
      </c>
      <c r="CC19" s="23"/>
      <c r="CD19" s="28"/>
      <c r="CE19" s="22">
        <f ca="1">OFFSET(Gemini抽出データ!$A$1,CD15,3)</f>
        <v>0</v>
      </c>
      <c r="CF19" s="24"/>
      <c r="CG19" s="10"/>
      <c r="CH19" s="22">
        <f ca="1">OFFSET(Gemini抽出データ!$A$1,CG15,3)</f>
        <v>0</v>
      </c>
      <c r="CI19" s="23"/>
      <c r="CJ19" s="28"/>
      <c r="CK19" s="22">
        <f ca="1">OFFSET(Gemini抽出データ!$A$1,CJ15,3)</f>
        <v>0</v>
      </c>
      <c r="CL19" s="24"/>
      <c r="CM19" s="29"/>
      <c r="CN19" s="22">
        <f ca="1">OFFSET(Gemini抽出データ!$A$1,CM15,3)</f>
        <v>0</v>
      </c>
      <c r="CO19" s="23"/>
      <c r="CP19" s="28"/>
      <c r="CQ19" s="22">
        <f ca="1">OFFSET(Gemini抽出データ!$A$1,CP15,3)</f>
        <v>0</v>
      </c>
      <c r="CR19" s="24"/>
      <c r="CS19" s="10"/>
      <c r="CT19" s="22">
        <f ca="1">OFFSET(Gemini抽出データ!$A$1,CS15,3)</f>
        <v>0</v>
      </c>
      <c r="CU19" s="23"/>
      <c r="CV19" s="28"/>
      <c r="CW19" s="22">
        <f ca="1">OFFSET(Gemini抽出データ!$A$1,CV15,3)</f>
        <v>0</v>
      </c>
      <c r="CX19" s="24"/>
      <c r="CY19" s="29"/>
      <c r="CZ19" s="22">
        <f ca="1">OFFSET(Gemini抽出データ!$A$1,CY15,3)</f>
        <v>0</v>
      </c>
      <c r="DA19" s="23"/>
      <c r="DB19" s="28"/>
      <c r="DC19" s="22">
        <f ca="1">OFFSET(Gemini抽出データ!$A$1,DB15,3)</f>
        <v>0</v>
      </c>
      <c r="DD19" s="24"/>
      <c r="DE19" s="10"/>
      <c r="DF19" s="22">
        <f ca="1">OFFSET(Gemini抽出データ!$A$1,DE15,3)</f>
        <v>0</v>
      </c>
      <c r="DG19" s="23"/>
      <c r="DH19" s="28"/>
      <c r="DI19" s="22">
        <f ca="1">OFFSET(Gemini抽出データ!$A$1,DH15,3)</f>
        <v>0</v>
      </c>
      <c r="DJ19" s="24"/>
      <c r="DK19" s="29"/>
      <c r="DL19" s="22">
        <f ca="1">OFFSET(Gemini抽出データ!$A$1,DK15,3)</f>
        <v>0</v>
      </c>
      <c r="DM19" s="23"/>
      <c r="DN19" s="28"/>
      <c r="DO19" s="22">
        <f ca="1">OFFSET(Gemini抽出データ!$A$1,DN15,3)</f>
        <v>0</v>
      </c>
      <c r="DP19" s="24"/>
      <c r="DQ19" s="10"/>
      <c r="DR19" s="22">
        <f ca="1">OFFSET(Gemini抽出データ!$A$1,DQ15,3)</f>
        <v>0</v>
      </c>
      <c r="DS19" s="23"/>
      <c r="DT19" s="28"/>
      <c r="DU19" s="22">
        <f ca="1">OFFSET(Gemini抽出データ!$A$1,DT15,3)</f>
        <v>0</v>
      </c>
      <c r="DV19" s="24"/>
      <c r="DW19" s="29"/>
      <c r="DX19" s="22">
        <f ca="1">OFFSET(Gemini抽出データ!$A$1,DW15,3)</f>
        <v>0</v>
      </c>
      <c r="DY19" s="23"/>
      <c r="DZ19" s="28"/>
      <c r="EA19" s="22">
        <f ca="1">OFFSET(Gemini抽出データ!$A$1,DZ15,3)</f>
        <v>0</v>
      </c>
      <c r="EB19" s="24"/>
      <c r="EC19" s="10"/>
      <c r="ED19" s="22">
        <f ca="1">OFFSET(Gemini抽出データ!$A$1,EC15,3)</f>
        <v>0</v>
      </c>
      <c r="EE19" s="23"/>
      <c r="EF19" s="28"/>
      <c r="EG19" s="22">
        <f ca="1">OFFSET(Gemini抽出データ!$A$1,EF15,3)</f>
        <v>0</v>
      </c>
      <c r="EH19" s="24"/>
      <c r="EI19" s="29"/>
      <c r="EJ19" s="22">
        <f ca="1">OFFSET(Gemini抽出データ!$A$1,EI15,3)</f>
        <v>0</v>
      </c>
      <c r="EK19" s="23"/>
      <c r="EL19" s="28"/>
      <c r="EM19" s="22">
        <f ca="1">OFFSET(Gemini抽出データ!$A$1,EL15,3)</f>
        <v>0</v>
      </c>
      <c r="EN19" s="24"/>
      <c r="EO19" s="10"/>
      <c r="EP19" s="22">
        <f ca="1">OFFSET(Gemini抽出データ!$A$1,EO15,3)</f>
        <v>0</v>
      </c>
      <c r="EQ19" s="23"/>
      <c r="ER19" s="28"/>
      <c r="ES19" s="22">
        <f ca="1">OFFSET(Gemini抽出データ!$A$1,ER15,3)</f>
        <v>0</v>
      </c>
      <c r="ET19" s="24"/>
      <c r="EU19" s="29"/>
      <c r="EV19" s="22">
        <f ca="1">OFFSET(Gemini抽出データ!$A$1,EU15,3)</f>
        <v>0</v>
      </c>
      <c r="EW19" s="23"/>
      <c r="EX19" s="28"/>
      <c r="EY19" s="22">
        <f ca="1">OFFSET(Gemini抽出データ!$A$1,EX15,3)</f>
        <v>0</v>
      </c>
      <c r="EZ19" s="24"/>
      <c r="FA19" s="10"/>
      <c r="FB19" s="22">
        <f ca="1">OFFSET(Gemini抽出データ!$A$1,FA15,3)</f>
        <v>0</v>
      </c>
      <c r="FC19" s="23"/>
      <c r="FD19" s="28"/>
      <c r="FE19" s="22">
        <f ca="1">OFFSET(Gemini抽出データ!$A$1,FD15,3)</f>
        <v>0</v>
      </c>
      <c r="FF19" s="24"/>
      <c r="FG19" s="29"/>
      <c r="FH19" s="22">
        <f ca="1">OFFSET(Gemini抽出データ!$A$1,FG15,3)</f>
        <v>0</v>
      </c>
      <c r="FI19" s="23"/>
      <c r="FJ19" s="28"/>
      <c r="FK19" s="22">
        <f ca="1">OFFSET(Gemini抽出データ!$A$1,FJ15,3)</f>
        <v>0</v>
      </c>
      <c r="FL19" s="24"/>
      <c r="FM19" s="10"/>
      <c r="FN19" s="22">
        <f ca="1">OFFSET(Gemini抽出データ!$A$1,FM15,3)</f>
        <v>0</v>
      </c>
      <c r="FO19" s="23"/>
      <c r="FP19" s="28"/>
      <c r="FQ19" s="22">
        <f ca="1">OFFSET(Gemini抽出データ!$A$1,FP15,3)</f>
        <v>0</v>
      </c>
      <c r="FR19" s="24"/>
      <c r="FS19" s="29"/>
      <c r="FT19" s="22">
        <f ca="1">OFFSET(Gemini抽出データ!$A$1,FS15,3)</f>
        <v>0</v>
      </c>
      <c r="FU19" s="23"/>
      <c r="FV19" s="28"/>
      <c r="FW19" s="22">
        <f ca="1">OFFSET(Gemini抽出データ!$A$1,FV15,3)</f>
        <v>0</v>
      </c>
      <c r="FX19" s="24"/>
      <c r="FY19" s="10"/>
      <c r="FZ19" s="22">
        <f ca="1">OFFSET(Gemini抽出データ!$A$1,FY15,3)</f>
        <v>0</v>
      </c>
      <c r="GA19" s="23"/>
      <c r="GB19" s="28"/>
      <c r="GC19" s="22">
        <f ca="1">OFFSET(Gemini抽出データ!$A$1,GB15,3)</f>
        <v>0</v>
      </c>
      <c r="GD19" s="24"/>
      <c r="GE19" s="29"/>
      <c r="GF19" s="22">
        <f ca="1">OFFSET(Gemini抽出データ!$A$1,GE15,3)</f>
        <v>0</v>
      </c>
      <c r="GG19" s="23"/>
      <c r="GH19" s="28"/>
      <c r="GI19" s="22">
        <f ca="1">OFFSET(Gemini抽出データ!$A$1,GH15,3)</f>
        <v>0</v>
      </c>
      <c r="GJ19" s="24"/>
      <c r="GK19" s="10"/>
      <c r="GL19" s="22">
        <f ca="1">OFFSET(Gemini抽出データ!$A$1,GK15,3)</f>
        <v>0</v>
      </c>
      <c r="GM19" s="23"/>
      <c r="GN19" s="28"/>
      <c r="GO19" s="22">
        <f ca="1">OFFSET(Gemini抽出データ!$A$1,GN15,3)</f>
        <v>0</v>
      </c>
      <c r="GP19" s="24"/>
      <c r="GQ19" s="29"/>
      <c r="GR19" s="22">
        <f ca="1">OFFSET(Gemini抽出データ!$A$1,GQ15,3)</f>
        <v>0</v>
      </c>
      <c r="GS19" s="23"/>
      <c r="GT19" s="28"/>
      <c r="GU19" s="22">
        <f ca="1">OFFSET(Gemini抽出データ!$A$1,GT15,3)</f>
        <v>0</v>
      </c>
      <c r="GV19" s="24"/>
      <c r="GW19" s="10"/>
      <c r="GX19" s="22">
        <f ca="1">OFFSET(Gemini抽出データ!$A$1,GW15,3)</f>
        <v>0</v>
      </c>
      <c r="GY19" s="23"/>
      <c r="GZ19" s="28"/>
      <c r="HA19" s="22">
        <f ca="1">OFFSET(Gemini抽出データ!$A$1,GZ15,3)</f>
        <v>0</v>
      </c>
      <c r="HB19" s="24"/>
      <c r="HC19" s="29"/>
      <c r="HD19" s="22">
        <f ca="1">OFFSET(Gemini抽出データ!$A$1,HC15,3)</f>
        <v>0</v>
      </c>
      <c r="HE19" s="23"/>
      <c r="HF19" s="28"/>
      <c r="HG19" s="22">
        <f ca="1">OFFSET(Gemini抽出データ!$A$1,HF15,3)</f>
        <v>0</v>
      </c>
      <c r="HH19" s="24"/>
      <c r="HI19" s="10"/>
      <c r="HJ19" s="22">
        <f ca="1">OFFSET(Gemini抽出データ!$A$1,HI15,3)</f>
        <v>0</v>
      </c>
      <c r="HK19" s="23"/>
      <c r="HL19" s="28"/>
      <c r="HM19" s="22">
        <f ca="1">OFFSET(Gemini抽出データ!$A$1,HL15,3)</f>
        <v>0</v>
      </c>
      <c r="HN19" s="24"/>
      <c r="HO19" s="29"/>
      <c r="HP19" s="22">
        <f ca="1">OFFSET(Gemini抽出データ!$A$1,HO15,3)</f>
        <v>0</v>
      </c>
      <c r="HQ19" s="23"/>
      <c r="HR19" s="28"/>
      <c r="HS19" s="22">
        <f ca="1">OFFSET(Gemini抽出データ!$A$1,HR15,3)</f>
        <v>0</v>
      </c>
      <c r="HT19" s="24"/>
      <c r="HU19" s="2" t="e">
        <f ca="1">OFFSET(Gemini抽出データ!$A$1,#REF!,3)</f>
        <v>#REF!</v>
      </c>
      <c r="HV19" s="3"/>
    </row>
    <row r="20" spans="1:230" ht="17.100000000000001" customHeight="1" x14ac:dyDescent="0.45">
      <c r="A20" s="10"/>
      <c r="B20" s="23"/>
      <c r="C20" s="23"/>
      <c r="D20" s="28" t="str">
        <f>"クラス"&amp;D$1</f>
        <v>クラス2</v>
      </c>
      <c r="E20" s="23"/>
      <c r="F20" s="24"/>
      <c r="G20" s="29" t="str">
        <f>"クラス"&amp;G$1</f>
        <v>クラス3</v>
      </c>
      <c r="H20" s="23"/>
      <c r="I20" s="23"/>
      <c r="J20" s="28" t="str">
        <f>"クラス"&amp;J$1</f>
        <v>クラス4</v>
      </c>
      <c r="K20" s="23"/>
      <c r="L20" s="24"/>
      <c r="M20" s="10"/>
      <c r="N20" s="23"/>
      <c r="O20" s="23"/>
      <c r="P20" s="28" t="str">
        <f>"クラス"&amp;P$1</f>
        <v>クラス30</v>
      </c>
      <c r="Q20" s="23"/>
      <c r="R20" s="24"/>
      <c r="S20" s="29" t="str">
        <f>"クラス"&amp;S$1</f>
        <v>クラス31</v>
      </c>
      <c r="T20" s="23"/>
      <c r="U20" s="23"/>
      <c r="V20" s="28" t="str">
        <f>"クラス"&amp;V$1</f>
        <v>クラス32</v>
      </c>
      <c r="W20" s="23"/>
      <c r="X20" s="24"/>
      <c r="Y20" s="10"/>
      <c r="Z20" s="23"/>
      <c r="AA20" s="23"/>
      <c r="AB20" s="28" t="str">
        <f>"クラス"&amp;AB$1</f>
        <v>クラス58</v>
      </c>
      <c r="AC20" s="23"/>
      <c r="AD20" s="24"/>
      <c r="AE20" s="29" t="str">
        <f>"クラス"&amp;AE$1</f>
        <v>クラス59</v>
      </c>
      <c r="AF20" s="23"/>
      <c r="AG20" s="23"/>
      <c r="AH20" s="28" t="str">
        <f>"クラス"&amp;AH$1</f>
        <v>クラス60</v>
      </c>
      <c r="AI20" s="23"/>
      <c r="AJ20" s="24"/>
      <c r="AK20" s="10"/>
      <c r="AL20" s="23"/>
      <c r="AM20" s="23"/>
      <c r="AN20" s="28" t="str">
        <f>"クラス"&amp;AN$1</f>
        <v>クラス86</v>
      </c>
      <c r="AO20" s="23"/>
      <c r="AP20" s="24"/>
      <c r="AQ20" s="29" t="str">
        <f>"クラス"&amp;AQ$1</f>
        <v>クラス87</v>
      </c>
      <c r="AR20" s="23"/>
      <c r="AS20" s="23"/>
      <c r="AT20" s="28" t="str">
        <f>"クラス"&amp;AT$1</f>
        <v>クラス88</v>
      </c>
      <c r="AU20" s="23"/>
      <c r="AV20" s="24"/>
      <c r="AW20" s="10"/>
      <c r="AX20" s="23"/>
      <c r="AY20" s="23"/>
      <c r="AZ20" s="28" t="str">
        <f>"クラス"&amp;AZ$1</f>
        <v>クラス114</v>
      </c>
      <c r="BA20" s="23"/>
      <c r="BB20" s="24"/>
      <c r="BC20" s="29" t="str">
        <f>"クラス"&amp;BC$1</f>
        <v>クラス115</v>
      </c>
      <c r="BD20" s="23"/>
      <c r="BE20" s="23"/>
      <c r="BF20" s="28" t="str">
        <f>"クラス"&amp;BF$1</f>
        <v>クラス116</v>
      </c>
      <c r="BG20" s="23"/>
      <c r="BH20" s="24"/>
      <c r="BI20" s="10"/>
      <c r="BJ20" s="23"/>
      <c r="BK20" s="23"/>
      <c r="BL20" s="28" t="str">
        <f>"クラス"&amp;BL$1</f>
        <v>クラス142</v>
      </c>
      <c r="BM20" s="23"/>
      <c r="BN20" s="24"/>
      <c r="BO20" s="29" t="str">
        <f>"クラス"&amp;BO$1</f>
        <v>クラス143</v>
      </c>
      <c r="BP20" s="23"/>
      <c r="BQ20" s="23"/>
      <c r="BR20" s="28" t="str">
        <f>"クラス"&amp;BR$1</f>
        <v>クラス144</v>
      </c>
      <c r="BS20" s="23"/>
      <c r="BT20" s="24"/>
      <c r="BU20" s="10"/>
      <c r="BV20" s="23"/>
      <c r="BW20" s="23"/>
      <c r="BX20" s="28" t="str">
        <f>"クラス"&amp;BX$1</f>
        <v>クラス170</v>
      </c>
      <c r="BY20" s="23"/>
      <c r="BZ20" s="24"/>
      <c r="CA20" s="29" t="str">
        <f>"クラス"&amp;CA$1</f>
        <v>クラス171</v>
      </c>
      <c r="CB20" s="23"/>
      <c r="CC20" s="23"/>
      <c r="CD20" s="28" t="str">
        <f>"クラス"&amp;CD$1</f>
        <v>クラス172</v>
      </c>
      <c r="CE20" s="23"/>
      <c r="CF20" s="24"/>
      <c r="CG20" s="10"/>
      <c r="CH20" s="23"/>
      <c r="CI20" s="23"/>
      <c r="CJ20" s="28" t="str">
        <f>"クラス"&amp;CJ$1</f>
        <v>クラス198</v>
      </c>
      <c r="CK20" s="23"/>
      <c r="CL20" s="24"/>
      <c r="CM20" s="29" t="str">
        <f>"クラス"&amp;CM$1</f>
        <v>クラス199</v>
      </c>
      <c r="CN20" s="23"/>
      <c r="CO20" s="23"/>
      <c r="CP20" s="28" t="str">
        <f>"クラス"&amp;CP$1</f>
        <v>クラス200</v>
      </c>
      <c r="CQ20" s="23"/>
      <c r="CR20" s="24"/>
      <c r="CS20" s="10"/>
      <c r="CT20" s="23"/>
      <c r="CU20" s="23"/>
      <c r="CV20" s="28" t="str">
        <f>"クラス"&amp;CV$1</f>
        <v>クラス226</v>
      </c>
      <c r="CW20" s="23"/>
      <c r="CX20" s="24"/>
      <c r="CY20" s="29" t="str">
        <f>"クラス"&amp;CY$1</f>
        <v>クラス227</v>
      </c>
      <c r="CZ20" s="23"/>
      <c r="DA20" s="23"/>
      <c r="DB20" s="28" t="str">
        <f>"クラス"&amp;DB$1</f>
        <v>クラス228</v>
      </c>
      <c r="DC20" s="23"/>
      <c r="DD20" s="24"/>
      <c r="DE20" s="10"/>
      <c r="DF20" s="23"/>
      <c r="DG20" s="23"/>
      <c r="DH20" s="28" t="str">
        <f>"クラス"&amp;DH$1</f>
        <v>クラス254</v>
      </c>
      <c r="DI20" s="23"/>
      <c r="DJ20" s="24"/>
      <c r="DK20" s="29" t="str">
        <f>"クラス"&amp;DK$1</f>
        <v>クラス255</v>
      </c>
      <c r="DL20" s="23"/>
      <c r="DM20" s="23"/>
      <c r="DN20" s="28" t="str">
        <f>"クラス"&amp;DN$1</f>
        <v>クラス256</v>
      </c>
      <c r="DO20" s="23"/>
      <c r="DP20" s="24"/>
      <c r="DQ20" s="10"/>
      <c r="DR20" s="23"/>
      <c r="DS20" s="23"/>
      <c r="DT20" s="28" t="str">
        <f>"クラス"&amp;DT$1</f>
        <v>クラス282</v>
      </c>
      <c r="DU20" s="23"/>
      <c r="DV20" s="24"/>
      <c r="DW20" s="29" t="str">
        <f>"クラス"&amp;DW$1</f>
        <v>クラス283</v>
      </c>
      <c r="DX20" s="23"/>
      <c r="DY20" s="23"/>
      <c r="DZ20" s="28" t="str">
        <f>"クラス"&amp;DZ$1</f>
        <v>クラス284</v>
      </c>
      <c r="EA20" s="23"/>
      <c r="EB20" s="24"/>
      <c r="EC20" s="10"/>
      <c r="ED20" s="23"/>
      <c r="EE20" s="23"/>
      <c r="EF20" s="28" t="str">
        <f>"クラス"&amp;EF$1</f>
        <v>クラス310</v>
      </c>
      <c r="EG20" s="23"/>
      <c r="EH20" s="24"/>
      <c r="EI20" s="29" t="str">
        <f>"クラス"&amp;EI$1</f>
        <v>クラス311</v>
      </c>
      <c r="EJ20" s="23"/>
      <c r="EK20" s="23"/>
      <c r="EL20" s="28" t="str">
        <f>"クラス"&amp;EL$1</f>
        <v>クラス312</v>
      </c>
      <c r="EM20" s="23"/>
      <c r="EN20" s="24"/>
      <c r="EO20" s="10"/>
      <c r="EP20" s="23"/>
      <c r="EQ20" s="23"/>
      <c r="ER20" s="28" t="str">
        <f>"クラス"&amp;ER$1</f>
        <v>クラス338</v>
      </c>
      <c r="ES20" s="23"/>
      <c r="ET20" s="24"/>
      <c r="EU20" s="29" t="str">
        <f>"クラス"&amp;EU$1</f>
        <v>クラス339</v>
      </c>
      <c r="EV20" s="23"/>
      <c r="EW20" s="23"/>
      <c r="EX20" s="28" t="str">
        <f>"クラス"&amp;EX$1</f>
        <v>クラス340</v>
      </c>
      <c r="EY20" s="23"/>
      <c r="EZ20" s="24"/>
      <c r="FA20" s="10"/>
      <c r="FB20" s="23"/>
      <c r="FC20" s="23"/>
      <c r="FD20" s="28" t="str">
        <f>"クラス"&amp;FD$1</f>
        <v>クラス366</v>
      </c>
      <c r="FE20" s="23"/>
      <c r="FF20" s="24"/>
      <c r="FG20" s="29" t="str">
        <f>"クラス"&amp;FG$1</f>
        <v>クラス367</v>
      </c>
      <c r="FH20" s="23"/>
      <c r="FI20" s="23"/>
      <c r="FJ20" s="28" t="str">
        <f>"クラス"&amp;FJ$1</f>
        <v>クラス368</v>
      </c>
      <c r="FK20" s="23"/>
      <c r="FL20" s="24"/>
      <c r="FM20" s="10"/>
      <c r="FN20" s="23"/>
      <c r="FO20" s="23"/>
      <c r="FP20" s="28" t="str">
        <f>"クラス"&amp;FP$1</f>
        <v>クラス394</v>
      </c>
      <c r="FQ20" s="23"/>
      <c r="FR20" s="24"/>
      <c r="FS20" s="29" t="str">
        <f>"クラス"&amp;FS$1</f>
        <v>クラス395</v>
      </c>
      <c r="FT20" s="23"/>
      <c r="FU20" s="23"/>
      <c r="FV20" s="28" t="str">
        <f>"クラス"&amp;FV$1</f>
        <v>クラス396</v>
      </c>
      <c r="FW20" s="23"/>
      <c r="FX20" s="24"/>
      <c r="FY20" s="10"/>
      <c r="FZ20" s="23"/>
      <c r="GA20" s="23"/>
      <c r="GB20" s="28" t="str">
        <f>"クラス"&amp;GB$1</f>
        <v>クラス422</v>
      </c>
      <c r="GC20" s="23"/>
      <c r="GD20" s="24"/>
      <c r="GE20" s="29" t="str">
        <f>"クラス"&amp;GE$1</f>
        <v>クラス423</v>
      </c>
      <c r="GF20" s="23"/>
      <c r="GG20" s="23"/>
      <c r="GH20" s="28" t="str">
        <f>"クラス"&amp;GH$1</f>
        <v>クラス424</v>
      </c>
      <c r="GI20" s="23"/>
      <c r="GJ20" s="24"/>
      <c r="GK20" s="10"/>
      <c r="GL20" s="23"/>
      <c r="GM20" s="23"/>
      <c r="GN20" s="28" t="str">
        <f>"クラス"&amp;GN$1</f>
        <v>クラス450</v>
      </c>
      <c r="GO20" s="23"/>
      <c r="GP20" s="24"/>
      <c r="GQ20" s="29" t="str">
        <f>"クラス"&amp;GQ$1</f>
        <v>クラス451</v>
      </c>
      <c r="GR20" s="23"/>
      <c r="GS20" s="23"/>
      <c r="GT20" s="28" t="str">
        <f>"クラス"&amp;GT$1</f>
        <v>クラス452</v>
      </c>
      <c r="GU20" s="23"/>
      <c r="GV20" s="24"/>
      <c r="GW20" s="10"/>
      <c r="GX20" s="23"/>
      <c r="GY20" s="23"/>
      <c r="GZ20" s="28" t="str">
        <f>"クラス"&amp;GZ$1</f>
        <v>クラス478</v>
      </c>
      <c r="HA20" s="23"/>
      <c r="HB20" s="24"/>
      <c r="HC20" s="29" t="str">
        <f>"クラス"&amp;HC$1</f>
        <v>クラス479</v>
      </c>
      <c r="HD20" s="23"/>
      <c r="HE20" s="23"/>
      <c r="HF20" s="28" t="str">
        <f>"クラス"&amp;HF$1</f>
        <v>クラス480</v>
      </c>
      <c r="HG20" s="23"/>
      <c r="HH20" s="24"/>
      <c r="HI20" s="10"/>
      <c r="HJ20" s="23"/>
      <c r="HK20" s="23"/>
      <c r="HL20" s="28" t="str">
        <f>"クラス"&amp;HL$1</f>
        <v>クラス506</v>
      </c>
      <c r="HM20" s="23"/>
      <c r="HN20" s="24"/>
      <c r="HO20" s="29" t="str">
        <f>"クラス"&amp;HO$1</f>
        <v>クラス507</v>
      </c>
      <c r="HP20" s="23"/>
      <c r="HQ20" s="23"/>
      <c r="HR20" s="28" t="str">
        <f>"クラス"&amp;HR$1</f>
        <v>クラス508</v>
      </c>
      <c r="HS20" s="23"/>
      <c r="HT20" s="24"/>
      <c r="HU20" s="3"/>
      <c r="HV20" s="3"/>
    </row>
    <row r="21" spans="1:230" ht="17.100000000000001" customHeight="1" x14ac:dyDescent="0.45">
      <c r="A21" s="10" t="str">
        <f>"クラス"&amp;A$1</f>
        <v>クラス1</v>
      </c>
      <c r="B21" s="11">
        <f ca="1">OFFSET(Gemini抽出データ!$A$1,A15,4)</f>
        <v>0</v>
      </c>
      <c r="C21" s="11" t="str">
        <f ca="1">IF(OFFSET(Gemini抽出データ!$A$1,A15,5)=0,"",OFFSET(Gemini抽出データ!$A$1,A15,5))</f>
        <v/>
      </c>
      <c r="D21" s="10" t="str">
        <f>A21</f>
        <v>クラス1</v>
      </c>
      <c r="E21" s="11">
        <f ca="1">OFFSET(Gemini抽出データ!$A$1,D15,4)</f>
        <v>0</v>
      </c>
      <c r="F21" s="12" t="str">
        <f ca="1">IF(OFFSET(Gemini抽出データ!$A$1,D15,5)=0,"",OFFSET(Gemini抽出データ!$A$1,D15,5))</f>
        <v/>
      </c>
      <c r="G21" s="13" t="str">
        <f>A21</f>
        <v>クラス1</v>
      </c>
      <c r="H21" s="11">
        <f ca="1">OFFSET(Gemini抽出データ!$A$1,G15,4)</f>
        <v>0</v>
      </c>
      <c r="I21" s="11" t="str">
        <f ca="1">IF(OFFSET(Gemini抽出データ!$A$1,G15,5)=0,"",OFFSET(Gemini抽出データ!$A$1,G15,5))</f>
        <v/>
      </c>
      <c r="J21" s="10" t="str">
        <f>G21</f>
        <v>クラス1</v>
      </c>
      <c r="K21" s="11">
        <f ca="1">OFFSET(Gemini抽出データ!$A$1,J15,4)</f>
        <v>0</v>
      </c>
      <c r="L21" s="12" t="str">
        <f ca="1">IF(OFFSET(Gemini抽出データ!$A$1,J15,5)=0,"",OFFSET(Gemini抽出データ!$A$1,J15,5))</f>
        <v/>
      </c>
      <c r="M21" s="10" t="str">
        <f>"クラス"&amp;M$1</f>
        <v>クラス29</v>
      </c>
      <c r="N21" s="11">
        <f ca="1">OFFSET(Gemini抽出データ!$A$1,M15,4)</f>
        <v>0</v>
      </c>
      <c r="O21" s="11" t="str">
        <f ca="1">IF(OFFSET(Gemini抽出データ!$A$1,M15,5)=0,"",OFFSET(Gemini抽出データ!$A$1,M15,5))</f>
        <v/>
      </c>
      <c r="P21" s="10" t="str">
        <f>M21</f>
        <v>クラス29</v>
      </c>
      <c r="Q21" s="11">
        <f ca="1">OFFSET(Gemini抽出データ!$A$1,P15,4)</f>
        <v>0</v>
      </c>
      <c r="R21" s="12" t="str">
        <f ca="1">IF(OFFSET(Gemini抽出データ!$A$1,P15,5)=0,"",OFFSET(Gemini抽出データ!$A$1,P15,5))</f>
        <v/>
      </c>
      <c r="S21" s="13" t="str">
        <f>M21</f>
        <v>クラス29</v>
      </c>
      <c r="T21" s="11">
        <f ca="1">OFFSET(Gemini抽出データ!$A$1,S15,4)</f>
        <v>0</v>
      </c>
      <c r="U21" s="11" t="str">
        <f ca="1">IF(OFFSET(Gemini抽出データ!$A$1,S15,5)=0,"",OFFSET(Gemini抽出データ!$A$1,S15,5))</f>
        <v/>
      </c>
      <c r="V21" s="10" t="str">
        <f>S21</f>
        <v>クラス29</v>
      </c>
      <c r="W21" s="11">
        <f ca="1">OFFSET(Gemini抽出データ!$A$1,V15,4)</f>
        <v>0</v>
      </c>
      <c r="X21" s="12" t="str">
        <f ca="1">IF(OFFSET(Gemini抽出データ!$A$1,V15,5)=0,"",OFFSET(Gemini抽出データ!$A$1,V15,5))</f>
        <v/>
      </c>
      <c r="Y21" s="10" t="str">
        <f>"クラス"&amp;Y$1</f>
        <v>クラス57</v>
      </c>
      <c r="Z21" s="11">
        <f ca="1">OFFSET(Gemini抽出データ!$A$1,Y15,4)</f>
        <v>0</v>
      </c>
      <c r="AA21" s="11" t="str">
        <f ca="1">IF(OFFSET(Gemini抽出データ!$A$1,Y15,5)=0,"",OFFSET(Gemini抽出データ!$A$1,Y15,5))</f>
        <v/>
      </c>
      <c r="AB21" s="10" t="str">
        <f>Y21</f>
        <v>クラス57</v>
      </c>
      <c r="AC21" s="11">
        <f ca="1">OFFSET(Gemini抽出データ!$A$1,AB15,4)</f>
        <v>0</v>
      </c>
      <c r="AD21" s="12" t="str">
        <f ca="1">IF(OFFSET(Gemini抽出データ!$A$1,AB15,5)=0,"",OFFSET(Gemini抽出データ!$A$1,AB15,5))</f>
        <v/>
      </c>
      <c r="AE21" s="13" t="str">
        <f>Y21</f>
        <v>クラス57</v>
      </c>
      <c r="AF21" s="11">
        <f ca="1">OFFSET(Gemini抽出データ!$A$1,AE15,4)</f>
        <v>0</v>
      </c>
      <c r="AG21" s="11" t="str">
        <f ca="1">IF(OFFSET(Gemini抽出データ!$A$1,AE15,5)=0,"",OFFSET(Gemini抽出データ!$A$1,AE15,5))</f>
        <v/>
      </c>
      <c r="AH21" s="10" t="str">
        <f>AE21</f>
        <v>クラス57</v>
      </c>
      <c r="AI21" s="11">
        <f ca="1">OFFSET(Gemini抽出データ!$A$1,AH15,4)</f>
        <v>0</v>
      </c>
      <c r="AJ21" s="12" t="str">
        <f ca="1">IF(OFFSET(Gemini抽出データ!$A$1,AH15,5)=0,"",OFFSET(Gemini抽出データ!$A$1,AH15,5))</f>
        <v/>
      </c>
      <c r="AK21" s="10" t="str">
        <f>"クラス"&amp;AK$1</f>
        <v>クラス85</v>
      </c>
      <c r="AL21" s="11">
        <f ca="1">OFFSET(Gemini抽出データ!$A$1,AK15,4)</f>
        <v>0</v>
      </c>
      <c r="AM21" s="11" t="str">
        <f ca="1">IF(OFFSET(Gemini抽出データ!$A$1,AK15,5)=0,"",OFFSET(Gemini抽出データ!$A$1,AK15,5))</f>
        <v/>
      </c>
      <c r="AN21" s="10" t="str">
        <f>AK21</f>
        <v>クラス85</v>
      </c>
      <c r="AO21" s="11">
        <f ca="1">OFFSET(Gemini抽出データ!$A$1,AN15,4)</f>
        <v>0</v>
      </c>
      <c r="AP21" s="12" t="str">
        <f ca="1">IF(OFFSET(Gemini抽出データ!$A$1,AN15,5)=0,"",OFFSET(Gemini抽出データ!$A$1,AN15,5))</f>
        <v/>
      </c>
      <c r="AQ21" s="13" t="str">
        <f>AK21</f>
        <v>クラス85</v>
      </c>
      <c r="AR21" s="11">
        <f ca="1">OFFSET(Gemini抽出データ!$A$1,AQ15,4)</f>
        <v>0</v>
      </c>
      <c r="AS21" s="11" t="str">
        <f ca="1">IF(OFFSET(Gemini抽出データ!$A$1,AQ15,5)=0,"",OFFSET(Gemini抽出データ!$A$1,AQ15,5))</f>
        <v/>
      </c>
      <c r="AT21" s="10" t="str">
        <f>AQ21</f>
        <v>クラス85</v>
      </c>
      <c r="AU21" s="11">
        <f ca="1">OFFSET(Gemini抽出データ!$A$1,AT15,4)</f>
        <v>0</v>
      </c>
      <c r="AV21" s="12" t="str">
        <f ca="1">IF(OFFSET(Gemini抽出データ!$A$1,AT15,5)=0,"",OFFSET(Gemini抽出データ!$A$1,AT15,5))</f>
        <v/>
      </c>
      <c r="AW21" s="10" t="str">
        <f>"クラス"&amp;AW$1</f>
        <v>クラス113</v>
      </c>
      <c r="AX21" s="11">
        <f ca="1">OFFSET(Gemini抽出データ!$A$1,AW15,4)</f>
        <v>0</v>
      </c>
      <c r="AY21" s="11" t="str">
        <f ca="1">IF(OFFSET(Gemini抽出データ!$A$1,AW15,5)=0,"",OFFSET(Gemini抽出データ!$A$1,AW15,5))</f>
        <v/>
      </c>
      <c r="AZ21" s="10" t="str">
        <f>AW21</f>
        <v>クラス113</v>
      </c>
      <c r="BA21" s="11">
        <f ca="1">OFFSET(Gemini抽出データ!$A$1,AZ15,4)</f>
        <v>0</v>
      </c>
      <c r="BB21" s="12" t="str">
        <f ca="1">IF(OFFSET(Gemini抽出データ!$A$1,AZ15,5)=0,"",OFFSET(Gemini抽出データ!$A$1,AZ15,5))</f>
        <v/>
      </c>
      <c r="BC21" s="13" t="str">
        <f>AW21</f>
        <v>クラス113</v>
      </c>
      <c r="BD21" s="11">
        <f ca="1">OFFSET(Gemini抽出データ!$A$1,BC15,4)</f>
        <v>0</v>
      </c>
      <c r="BE21" s="11" t="str">
        <f ca="1">IF(OFFSET(Gemini抽出データ!$A$1,BC15,5)=0,"",OFFSET(Gemini抽出データ!$A$1,BC15,5))</f>
        <v/>
      </c>
      <c r="BF21" s="10" t="str">
        <f>BC21</f>
        <v>クラス113</v>
      </c>
      <c r="BG21" s="11">
        <f ca="1">OFFSET(Gemini抽出データ!$A$1,BF15,4)</f>
        <v>0</v>
      </c>
      <c r="BH21" s="12" t="str">
        <f ca="1">IF(OFFSET(Gemini抽出データ!$A$1,BF15,5)=0,"",OFFSET(Gemini抽出データ!$A$1,BF15,5))</f>
        <v/>
      </c>
      <c r="BI21" s="10" t="str">
        <f>"クラス"&amp;BI$1</f>
        <v>クラス141</v>
      </c>
      <c r="BJ21" s="11">
        <f ca="1">OFFSET(Gemini抽出データ!$A$1,BI15,4)</f>
        <v>0</v>
      </c>
      <c r="BK21" s="11" t="str">
        <f ca="1">IF(OFFSET(Gemini抽出データ!$A$1,BI15,5)=0,"",OFFSET(Gemini抽出データ!$A$1,BI15,5))</f>
        <v/>
      </c>
      <c r="BL21" s="10" t="str">
        <f>BI21</f>
        <v>クラス141</v>
      </c>
      <c r="BM21" s="11">
        <f ca="1">OFFSET(Gemini抽出データ!$A$1,BL15,4)</f>
        <v>0</v>
      </c>
      <c r="BN21" s="12" t="str">
        <f ca="1">IF(OFFSET(Gemini抽出データ!$A$1,BL15,5)=0,"",OFFSET(Gemini抽出データ!$A$1,BL15,5))</f>
        <v/>
      </c>
      <c r="BO21" s="13" t="str">
        <f>BI21</f>
        <v>クラス141</v>
      </c>
      <c r="BP21" s="11">
        <f ca="1">OFFSET(Gemini抽出データ!$A$1,BO15,4)</f>
        <v>0</v>
      </c>
      <c r="BQ21" s="11" t="str">
        <f ca="1">IF(OFFSET(Gemini抽出データ!$A$1,BO15,5)=0,"",OFFSET(Gemini抽出データ!$A$1,BO15,5))</f>
        <v/>
      </c>
      <c r="BR21" s="10" t="str">
        <f>BO21</f>
        <v>クラス141</v>
      </c>
      <c r="BS21" s="11">
        <f ca="1">OFFSET(Gemini抽出データ!$A$1,BR15,4)</f>
        <v>0</v>
      </c>
      <c r="BT21" s="12" t="str">
        <f ca="1">IF(OFFSET(Gemini抽出データ!$A$1,BR15,5)=0,"",OFFSET(Gemini抽出データ!$A$1,BR15,5))</f>
        <v/>
      </c>
      <c r="BU21" s="10" t="str">
        <f>"クラス"&amp;BU$1</f>
        <v>クラス169</v>
      </c>
      <c r="BV21" s="11">
        <f ca="1">OFFSET(Gemini抽出データ!$A$1,BU15,4)</f>
        <v>0</v>
      </c>
      <c r="BW21" s="11" t="str">
        <f ca="1">IF(OFFSET(Gemini抽出データ!$A$1,BU15,5)=0,"",OFFSET(Gemini抽出データ!$A$1,BU15,5))</f>
        <v/>
      </c>
      <c r="BX21" s="10" t="str">
        <f>BU21</f>
        <v>クラス169</v>
      </c>
      <c r="BY21" s="11">
        <f ca="1">OFFSET(Gemini抽出データ!$A$1,BX15,4)</f>
        <v>0</v>
      </c>
      <c r="BZ21" s="12" t="str">
        <f ca="1">IF(OFFSET(Gemini抽出データ!$A$1,BX15,5)=0,"",OFFSET(Gemini抽出データ!$A$1,BX15,5))</f>
        <v/>
      </c>
      <c r="CA21" s="13" t="str">
        <f>BU21</f>
        <v>クラス169</v>
      </c>
      <c r="CB21" s="11">
        <f ca="1">OFFSET(Gemini抽出データ!$A$1,CA15,4)</f>
        <v>0</v>
      </c>
      <c r="CC21" s="11" t="str">
        <f ca="1">IF(OFFSET(Gemini抽出データ!$A$1,CA15,5)=0,"",OFFSET(Gemini抽出データ!$A$1,CA15,5))</f>
        <v/>
      </c>
      <c r="CD21" s="10" t="str">
        <f>CA21</f>
        <v>クラス169</v>
      </c>
      <c r="CE21" s="11">
        <f ca="1">OFFSET(Gemini抽出データ!$A$1,CD15,4)</f>
        <v>0</v>
      </c>
      <c r="CF21" s="12" t="str">
        <f ca="1">IF(OFFSET(Gemini抽出データ!$A$1,CD15,5)=0,"",OFFSET(Gemini抽出データ!$A$1,CD15,5))</f>
        <v/>
      </c>
      <c r="CG21" s="10" t="str">
        <f>"クラス"&amp;CG$1</f>
        <v>クラス197</v>
      </c>
      <c r="CH21" s="11">
        <f ca="1">OFFSET(Gemini抽出データ!$A$1,CG15,4)</f>
        <v>0</v>
      </c>
      <c r="CI21" s="11" t="str">
        <f ca="1">IF(OFFSET(Gemini抽出データ!$A$1,CG15,5)=0,"",OFFSET(Gemini抽出データ!$A$1,CG15,5))</f>
        <v/>
      </c>
      <c r="CJ21" s="10" t="str">
        <f>CG21</f>
        <v>クラス197</v>
      </c>
      <c r="CK21" s="11">
        <f ca="1">OFFSET(Gemini抽出データ!$A$1,CJ15,4)</f>
        <v>0</v>
      </c>
      <c r="CL21" s="12" t="str">
        <f ca="1">IF(OFFSET(Gemini抽出データ!$A$1,CJ15,5)=0,"",OFFSET(Gemini抽出データ!$A$1,CJ15,5))</f>
        <v/>
      </c>
      <c r="CM21" s="13" t="str">
        <f>CG21</f>
        <v>クラス197</v>
      </c>
      <c r="CN21" s="11">
        <f ca="1">OFFSET(Gemini抽出データ!$A$1,CM15,4)</f>
        <v>0</v>
      </c>
      <c r="CO21" s="11" t="str">
        <f ca="1">IF(OFFSET(Gemini抽出データ!$A$1,CM15,5)=0,"",OFFSET(Gemini抽出データ!$A$1,CM15,5))</f>
        <v/>
      </c>
      <c r="CP21" s="10" t="str">
        <f>CM21</f>
        <v>クラス197</v>
      </c>
      <c r="CQ21" s="11">
        <f ca="1">OFFSET(Gemini抽出データ!$A$1,CP15,4)</f>
        <v>0</v>
      </c>
      <c r="CR21" s="12" t="str">
        <f ca="1">IF(OFFSET(Gemini抽出データ!$A$1,CP15,5)=0,"",OFFSET(Gemini抽出データ!$A$1,CP15,5))</f>
        <v/>
      </c>
      <c r="CS21" s="10" t="str">
        <f>"クラス"&amp;CS$1</f>
        <v>クラス225</v>
      </c>
      <c r="CT21" s="11">
        <f ca="1">OFFSET(Gemini抽出データ!$A$1,CS15,4)</f>
        <v>0</v>
      </c>
      <c r="CU21" s="11" t="str">
        <f ca="1">IF(OFFSET(Gemini抽出データ!$A$1,CS15,5)=0,"",OFFSET(Gemini抽出データ!$A$1,CS15,5))</f>
        <v/>
      </c>
      <c r="CV21" s="10" t="str">
        <f>CS21</f>
        <v>クラス225</v>
      </c>
      <c r="CW21" s="11">
        <f ca="1">OFFSET(Gemini抽出データ!$A$1,CV15,4)</f>
        <v>0</v>
      </c>
      <c r="CX21" s="12" t="str">
        <f ca="1">IF(OFFSET(Gemini抽出データ!$A$1,CV15,5)=0,"",OFFSET(Gemini抽出データ!$A$1,CV15,5))</f>
        <v/>
      </c>
      <c r="CY21" s="13" t="str">
        <f>CS21</f>
        <v>クラス225</v>
      </c>
      <c r="CZ21" s="11">
        <f ca="1">OFFSET(Gemini抽出データ!$A$1,CY15,4)</f>
        <v>0</v>
      </c>
      <c r="DA21" s="11" t="str">
        <f ca="1">IF(OFFSET(Gemini抽出データ!$A$1,CY15,5)=0,"",OFFSET(Gemini抽出データ!$A$1,CY15,5))</f>
        <v/>
      </c>
      <c r="DB21" s="10" t="str">
        <f>CY21</f>
        <v>クラス225</v>
      </c>
      <c r="DC21" s="11">
        <f ca="1">OFFSET(Gemini抽出データ!$A$1,DB15,4)</f>
        <v>0</v>
      </c>
      <c r="DD21" s="12" t="str">
        <f ca="1">IF(OFFSET(Gemini抽出データ!$A$1,DB15,5)=0,"",OFFSET(Gemini抽出データ!$A$1,DB15,5))</f>
        <v/>
      </c>
      <c r="DE21" s="10" t="str">
        <f>"クラス"&amp;DE$1</f>
        <v>クラス253</v>
      </c>
      <c r="DF21" s="11">
        <f ca="1">OFFSET(Gemini抽出データ!$A$1,DE15,4)</f>
        <v>0</v>
      </c>
      <c r="DG21" s="11" t="str">
        <f ca="1">IF(OFFSET(Gemini抽出データ!$A$1,DE15,5)=0,"",OFFSET(Gemini抽出データ!$A$1,DE15,5))</f>
        <v/>
      </c>
      <c r="DH21" s="10" t="str">
        <f>DE21</f>
        <v>クラス253</v>
      </c>
      <c r="DI21" s="11">
        <f ca="1">OFFSET(Gemini抽出データ!$A$1,DH15,4)</f>
        <v>0</v>
      </c>
      <c r="DJ21" s="12" t="str">
        <f ca="1">IF(OFFSET(Gemini抽出データ!$A$1,DH15,5)=0,"",OFFSET(Gemini抽出データ!$A$1,DH15,5))</f>
        <v/>
      </c>
      <c r="DK21" s="13" t="str">
        <f>DE21</f>
        <v>クラス253</v>
      </c>
      <c r="DL21" s="11">
        <f ca="1">OFFSET(Gemini抽出データ!$A$1,DK15,4)</f>
        <v>0</v>
      </c>
      <c r="DM21" s="11" t="str">
        <f ca="1">IF(OFFSET(Gemini抽出データ!$A$1,DK15,5)=0,"",OFFSET(Gemini抽出データ!$A$1,DK15,5))</f>
        <v/>
      </c>
      <c r="DN21" s="10" t="str">
        <f>DK21</f>
        <v>クラス253</v>
      </c>
      <c r="DO21" s="11">
        <f ca="1">OFFSET(Gemini抽出データ!$A$1,DN15,4)</f>
        <v>0</v>
      </c>
      <c r="DP21" s="12" t="str">
        <f ca="1">IF(OFFSET(Gemini抽出データ!$A$1,DN15,5)=0,"",OFFSET(Gemini抽出データ!$A$1,DN15,5))</f>
        <v/>
      </c>
      <c r="DQ21" s="10" t="str">
        <f>"クラス"&amp;DQ$1</f>
        <v>クラス281</v>
      </c>
      <c r="DR21" s="11">
        <f ca="1">OFFSET(Gemini抽出データ!$A$1,DQ15,4)</f>
        <v>0</v>
      </c>
      <c r="DS21" s="11" t="str">
        <f ca="1">IF(OFFSET(Gemini抽出データ!$A$1,DQ15,5)=0,"",OFFSET(Gemini抽出データ!$A$1,DQ15,5))</f>
        <v/>
      </c>
      <c r="DT21" s="10" t="str">
        <f>DQ21</f>
        <v>クラス281</v>
      </c>
      <c r="DU21" s="11">
        <f ca="1">OFFSET(Gemini抽出データ!$A$1,DT15,4)</f>
        <v>0</v>
      </c>
      <c r="DV21" s="12" t="str">
        <f ca="1">IF(OFFSET(Gemini抽出データ!$A$1,DT15,5)=0,"",OFFSET(Gemini抽出データ!$A$1,DT15,5))</f>
        <v/>
      </c>
      <c r="DW21" s="13" t="str">
        <f>DQ21</f>
        <v>クラス281</v>
      </c>
      <c r="DX21" s="11">
        <f ca="1">OFFSET(Gemini抽出データ!$A$1,DW15,4)</f>
        <v>0</v>
      </c>
      <c r="DY21" s="11" t="str">
        <f ca="1">IF(OFFSET(Gemini抽出データ!$A$1,DW15,5)=0,"",OFFSET(Gemini抽出データ!$A$1,DW15,5))</f>
        <v/>
      </c>
      <c r="DZ21" s="10" t="str">
        <f>DW21</f>
        <v>クラス281</v>
      </c>
      <c r="EA21" s="11">
        <f ca="1">OFFSET(Gemini抽出データ!$A$1,DZ15,4)</f>
        <v>0</v>
      </c>
      <c r="EB21" s="12" t="str">
        <f ca="1">IF(OFFSET(Gemini抽出データ!$A$1,DZ15,5)=0,"",OFFSET(Gemini抽出データ!$A$1,DZ15,5))</f>
        <v/>
      </c>
      <c r="EC21" s="10" t="str">
        <f>"クラス"&amp;EC$1</f>
        <v>クラス309</v>
      </c>
      <c r="ED21" s="11">
        <f ca="1">OFFSET(Gemini抽出データ!$A$1,EC15,4)</f>
        <v>0</v>
      </c>
      <c r="EE21" s="11" t="str">
        <f ca="1">IF(OFFSET(Gemini抽出データ!$A$1,EC15,5)=0,"",OFFSET(Gemini抽出データ!$A$1,EC15,5))</f>
        <v/>
      </c>
      <c r="EF21" s="10" t="str">
        <f>EC21</f>
        <v>クラス309</v>
      </c>
      <c r="EG21" s="11">
        <f ca="1">OFFSET(Gemini抽出データ!$A$1,EF15,4)</f>
        <v>0</v>
      </c>
      <c r="EH21" s="12" t="str">
        <f ca="1">IF(OFFSET(Gemini抽出データ!$A$1,EF15,5)=0,"",OFFSET(Gemini抽出データ!$A$1,EF15,5))</f>
        <v/>
      </c>
      <c r="EI21" s="13" t="str">
        <f>EC21</f>
        <v>クラス309</v>
      </c>
      <c r="EJ21" s="11">
        <f ca="1">OFFSET(Gemini抽出データ!$A$1,EI15,4)</f>
        <v>0</v>
      </c>
      <c r="EK21" s="11" t="str">
        <f ca="1">IF(OFFSET(Gemini抽出データ!$A$1,EI15,5)=0,"",OFFSET(Gemini抽出データ!$A$1,EI15,5))</f>
        <v/>
      </c>
      <c r="EL21" s="10" t="str">
        <f>EI21</f>
        <v>クラス309</v>
      </c>
      <c r="EM21" s="11">
        <f ca="1">OFFSET(Gemini抽出データ!$A$1,EL15,4)</f>
        <v>0</v>
      </c>
      <c r="EN21" s="12" t="str">
        <f ca="1">IF(OFFSET(Gemini抽出データ!$A$1,EL15,5)=0,"",OFFSET(Gemini抽出データ!$A$1,EL15,5))</f>
        <v/>
      </c>
      <c r="EO21" s="10" t="str">
        <f>"クラス"&amp;EO$1</f>
        <v>クラス337</v>
      </c>
      <c r="EP21" s="11">
        <f ca="1">OFFSET(Gemini抽出データ!$A$1,EO15,4)</f>
        <v>0</v>
      </c>
      <c r="EQ21" s="11" t="str">
        <f ca="1">IF(OFFSET(Gemini抽出データ!$A$1,EO15,5)=0,"",OFFSET(Gemini抽出データ!$A$1,EO15,5))</f>
        <v/>
      </c>
      <c r="ER21" s="10" t="str">
        <f>EO21</f>
        <v>クラス337</v>
      </c>
      <c r="ES21" s="11">
        <f ca="1">OFFSET(Gemini抽出データ!$A$1,ER15,4)</f>
        <v>0</v>
      </c>
      <c r="ET21" s="12" t="str">
        <f ca="1">IF(OFFSET(Gemini抽出データ!$A$1,ER15,5)=0,"",OFFSET(Gemini抽出データ!$A$1,ER15,5))</f>
        <v/>
      </c>
      <c r="EU21" s="13" t="str">
        <f>EO21</f>
        <v>クラス337</v>
      </c>
      <c r="EV21" s="11">
        <f ca="1">OFFSET(Gemini抽出データ!$A$1,EU15,4)</f>
        <v>0</v>
      </c>
      <c r="EW21" s="11" t="str">
        <f ca="1">IF(OFFSET(Gemini抽出データ!$A$1,EU15,5)=0,"",OFFSET(Gemini抽出データ!$A$1,EU15,5))</f>
        <v/>
      </c>
      <c r="EX21" s="10" t="str">
        <f>EU21</f>
        <v>クラス337</v>
      </c>
      <c r="EY21" s="11">
        <f ca="1">OFFSET(Gemini抽出データ!$A$1,EX15,4)</f>
        <v>0</v>
      </c>
      <c r="EZ21" s="12" t="str">
        <f ca="1">IF(OFFSET(Gemini抽出データ!$A$1,EX15,5)=0,"",OFFSET(Gemini抽出データ!$A$1,EX15,5))</f>
        <v/>
      </c>
      <c r="FA21" s="10" t="str">
        <f>"クラス"&amp;FA$1</f>
        <v>クラス365</v>
      </c>
      <c r="FB21" s="11">
        <f ca="1">OFFSET(Gemini抽出データ!$A$1,FA15,4)</f>
        <v>0</v>
      </c>
      <c r="FC21" s="11" t="str">
        <f ca="1">IF(OFFSET(Gemini抽出データ!$A$1,FA15,5)=0,"",OFFSET(Gemini抽出データ!$A$1,FA15,5))</f>
        <v/>
      </c>
      <c r="FD21" s="10" t="str">
        <f>FA21</f>
        <v>クラス365</v>
      </c>
      <c r="FE21" s="11">
        <f ca="1">OFFSET(Gemini抽出データ!$A$1,FD15,4)</f>
        <v>0</v>
      </c>
      <c r="FF21" s="12" t="str">
        <f ca="1">IF(OFFSET(Gemini抽出データ!$A$1,FD15,5)=0,"",OFFSET(Gemini抽出データ!$A$1,FD15,5))</f>
        <v/>
      </c>
      <c r="FG21" s="13" t="str">
        <f>FA21</f>
        <v>クラス365</v>
      </c>
      <c r="FH21" s="11">
        <f ca="1">OFFSET(Gemini抽出データ!$A$1,FG15,4)</f>
        <v>0</v>
      </c>
      <c r="FI21" s="11" t="str">
        <f ca="1">IF(OFFSET(Gemini抽出データ!$A$1,FG15,5)=0,"",OFFSET(Gemini抽出データ!$A$1,FG15,5))</f>
        <v/>
      </c>
      <c r="FJ21" s="10" t="str">
        <f>FG21</f>
        <v>クラス365</v>
      </c>
      <c r="FK21" s="11">
        <f ca="1">OFFSET(Gemini抽出データ!$A$1,FJ15,4)</f>
        <v>0</v>
      </c>
      <c r="FL21" s="12" t="str">
        <f ca="1">IF(OFFSET(Gemini抽出データ!$A$1,FJ15,5)=0,"",OFFSET(Gemini抽出データ!$A$1,FJ15,5))</f>
        <v/>
      </c>
      <c r="FM21" s="10" t="str">
        <f>"クラス"&amp;FM$1</f>
        <v>クラス393</v>
      </c>
      <c r="FN21" s="11">
        <f ca="1">OFFSET(Gemini抽出データ!$A$1,FM15,4)</f>
        <v>0</v>
      </c>
      <c r="FO21" s="11" t="str">
        <f ca="1">IF(OFFSET(Gemini抽出データ!$A$1,FM15,5)=0,"",OFFSET(Gemini抽出データ!$A$1,FM15,5))</f>
        <v/>
      </c>
      <c r="FP21" s="10" t="str">
        <f>FM21</f>
        <v>クラス393</v>
      </c>
      <c r="FQ21" s="11">
        <f ca="1">OFFSET(Gemini抽出データ!$A$1,FP15,4)</f>
        <v>0</v>
      </c>
      <c r="FR21" s="12" t="str">
        <f ca="1">IF(OFFSET(Gemini抽出データ!$A$1,FP15,5)=0,"",OFFSET(Gemini抽出データ!$A$1,FP15,5))</f>
        <v/>
      </c>
      <c r="FS21" s="13" t="str">
        <f>FM21</f>
        <v>クラス393</v>
      </c>
      <c r="FT21" s="11">
        <f ca="1">OFFSET(Gemini抽出データ!$A$1,FS15,4)</f>
        <v>0</v>
      </c>
      <c r="FU21" s="11" t="str">
        <f ca="1">IF(OFFSET(Gemini抽出データ!$A$1,FS15,5)=0,"",OFFSET(Gemini抽出データ!$A$1,FS15,5))</f>
        <v/>
      </c>
      <c r="FV21" s="10" t="str">
        <f>FS21</f>
        <v>クラス393</v>
      </c>
      <c r="FW21" s="11">
        <f ca="1">OFFSET(Gemini抽出データ!$A$1,FV15,4)</f>
        <v>0</v>
      </c>
      <c r="FX21" s="12" t="str">
        <f ca="1">IF(OFFSET(Gemini抽出データ!$A$1,FV15,5)=0,"",OFFSET(Gemini抽出データ!$A$1,FV15,5))</f>
        <v/>
      </c>
      <c r="FY21" s="10" t="str">
        <f>"クラス"&amp;FY$1</f>
        <v>クラス421</v>
      </c>
      <c r="FZ21" s="11">
        <f ca="1">OFFSET(Gemini抽出データ!$A$1,FY15,4)</f>
        <v>0</v>
      </c>
      <c r="GA21" s="11" t="str">
        <f ca="1">IF(OFFSET(Gemini抽出データ!$A$1,FY15,5)=0,"",OFFSET(Gemini抽出データ!$A$1,FY15,5))</f>
        <v/>
      </c>
      <c r="GB21" s="10" t="str">
        <f>FY21</f>
        <v>クラス421</v>
      </c>
      <c r="GC21" s="11">
        <f ca="1">OFFSET(Gemini抽出データ!$A$1,GB15,4)</f>
        <v>0</v>
      </c>
      <c r="GD21" s="12" t="str">
        <f ca="1">IF(OFFSET(Gemini抽出データ!$A$1,GB15,5)=0,"",OFFSET(Gemini抽出データ!$A$1,GB15,5))</f>
        <v/>
      </c>
      <c r="GE21" s="13" t="str">
        <f>FY21</f>
        <v>クラス421</v>
      </c>
      <c r="GF21" s="11">
        <f ca="1">OFFSET(Gemini抽出データ!$A$1,GE15,4)</f>
        <v>0</v>
      </c>
      <c r="GG21" s="11" t="str">
        <f ca="1">IF(OFFSET(Gemini抽出データ!$A$1,GE15,5)=0,"",OFFSET(Gemini抽出データ!$A$1,GE15,5))</f>
        <v/>
      </c>
      <c r="GH21" s="10" t="str">
        <f>GE21</f>
        <v>クラス421</v>
      </c>
      <c r="GI21" s="11">
        <f ca="1">OFFSET(Gemini抽出データ!$A$1,GH15,4)</f>
        <v>0</v>
      </c>
      <c r="GJ21" s="12" t="str">
        <f ca="1">IF(OFFSET(Gemini抽出データ!$A$1,GH15,5)=0,"",OFFSET(Gemini抽出データ!$A$1,GH15,5))</f>
        <v/>
      </c>
      <c r="GK21" s="10" t="str">
        <f>"クラス"&amp;GK$1</f>
        <v>クラス449</v>
      </c>
      <c r="GL21" s="11">
        <f ca="1">OFFSET(Gemini抽出データ!$A$1,GK15,4)</f>
        <v>0</v>
      </c>
      <c r="GM21" s="11" t="str">
        <f ca="1">IF(OFFSET(Gemini抽出データ!$A$1,GK15,5)=0,"",OFFSET(Gemini抽出データ!$A$1,GK15,5))</f>
        <v/>
      </c>
      <c r="GN21" s="10" t="str">
        <f>GK21</f>
        <v>クラス449</v>
      </c>
      <c r="GO21" s="11">
        <f ca="1">OFFSET(Gemini抽出データ!$A$1,GN15,4)</f>
        <v>0</v>
      </c>
      <c r="GP21" s="12" t="str">
        <f ca="1">IF(OFFSET(Gemini抽出データ!$A$1,GN15,5)=0,"",OFFSET(Gemini抽出データ!$A$1,GN15,5))</f>
        <v/>
      </c>
      <c r="GQ21" s="13" t="str">
        <f>GK21</f>
        <v>クラス449</v>
      </c>
      <c r="GR21" s="11">
        <f ca="1">OFFSET(Gemini抽出データ!$A$1,GQ15,4)</f>
        <v>0</v>
      </c>
      <c r="GS21" s="11" t="str">
        <f ca="1">IF(OFFSET(Gemini抽出データ!$A$1,GQ15,5)=0,"",OFFSET(Gemini抽出データ!$A$1,GQ15,5))</f>
        <v/>
      </c>
      <c r="GT21" s="10" t="str">
        <f>GQ21</f>
        <v>クラス449</v>
      </c>
      <c r="GU21" s="11">
        <f ca="1">OFFSET(Gemini抽出データ!$A$1,GT15,4)</f>
        <v>0</v>
      </c>
      <c r="GV21" s="12" t="str">
        <f ca="1">IF(OFFSET(Gemini抽出データ!$A$1,GT15,5)=0,"",OFFSET(Gemini抽出データ!$A$1,GT15,5))</f>
        <v/>
      </c>
      <c r="GW21" s="10" t="str">
        <f>"クラス"&amp;GW$1</f>
        <v>クラス477</v>
      </c>
      <c r="GX21" s="11">
        <f ca="1">OFFSET(Gemini抽出データ!$A$1,GW15,4)</f>
        <v>0</v>
      </c>
      <c r="GY21" s="11" t="str">
        <f ca="1">IF(OFFSET(Gemini抽出データ!$A$1,GW15,5)=0,"",OFFSET(Gemini抽出データ!$A$1,GW15,5))</f>
        <v/>
      </c>
      <c r="GZ21" s="10" t="str">
        <f>GW21</f>
        <v>クラス477</v>
      </c>
      <c r="HA21" s="11">
        <f ca="1">OFFSET(Gemini抽出データ!$A$1,GZ15,4)</f>
        <v>0</v>
      </c>
      <c r="HB21" s="12" t="str">
        <f ca="1">IF(OFFSET(Gemini抽出データ!$A$1,GZ15,5)=0,"",OFFSET(Gemini抽出データ!$A$1,GZ15,5))</f>
        <v/>
      </c>
      <c r="HC21" s="13" t="str">
        <f>GW21</f>
        <v>クラス477</v>
      </c>
      <c r="HD21" s="11">
        <f ca="1">OFFSET(Gemini抽出データ!$A$1,HC15,4)</f>
        <v>0</v>
      </c>
      <c r="HE21" s="11" t="str">
        <f ca="1">IF(OFFSET(Gemini抽出データ!$A$1,HC15,5)=0,"",OFFSET(Gemini抽出データ!$A$1,HC15,5))</f>
        <v/>
      </c>
      <c r="HF21" s="10" t="str">
        <f>HC21</f>
        <v>クラス477</v>
      </c>
      <c r="HG21" s="11">
        <f ca="1">OFFSET(Gemini抽出データ!$A$1,HF15,4)</f>
        <v>0</v>
      </c>
      <c r="HH21" s="12" t="str">
        <f ca="1">IF(OFFSET(Gemini抽出データ!$A$1,HF15,5)=0,"",OFFSET(Gemini抽出データ!$A$1,HF15,5))</f>
        <v/>
      </c>
      <c r="HI21" s="10" t="str">
        <f>"クラス"&amp;HI$1</f>
        <v>クラス505</v>
      </c>
      <c r="HJ21" s="11">
        <f ca="1">OFFSET(Gemini抽出データ!$A$1,HI15,4)</f>
        <v>0</v>
      </c>
      <c r="HK21" s="11" t="str">
        <f ca="1">IF(OFFSET(Gemini抽出データ!$A$1,HI15,5)=0,"",OFFSET(Gemini抽出データ!$A$1,HI15,5))</f>
        <v/>
      </c>
      <c r="HL21" s="10" t="str">
        <f>HI21</f>
        <v>クラス505</v>
      </c>
      <c r="HM21" s="11">
        <f ca="1">OFFSET(Gemini抽出データ!$A$1,HL15,4)</f>
        <v>0</v>
      </c>
      <c r="HN21" s="12" t="str">
        <f ca="1">IF(OFFSET(Gemini抽出データ!$A$1,HL15,5)=0,"",OFFSET(Gemini抽出データ!$A$1,HL15,5))</f>
        <v/>
      </c>
      <c r="HO21" s="13" t="str">
        <f>HI21</f>
        <v>クラス505</v>
      </c>
      <c r="HP21" s="11">
        <f ca="1">OFFSET(Gemini抽出データ!$A$1,HO15,4)</f>
        <v>0</v>
      </c>
      <c r="HQ21" s="11" t="str">
        <f ca="1">IF(OFFSET(Gemini抽出データ!$A$1,HO15,5)=0,"",OFFSET(Gemini抽出データ!$A$1,HO15,5))</f>
        <v/>
      </c>
      <c r="HR21" s="10" t="str">
        <f>HO21</f>
        <v>クラス505</v>
      </c>
      <c r="HS21" s="11">
        <f ca="1">OFFSET(Gemini抽出データ!$A$1,HR15,4)</f>
        <v>0</v>
      </c>
      <c r="HT21" s="12" t="str">
        <f ca="1">IF(OFFSET(Gemini抽出データ!$A$1,HR15,5)=0,"",OFFSET(Gemini抽出データ!$A$1,HR15,5))</f>
        <v/>
      </c>
      <c r="HU21" t="e">
        <f ca="1">OFFSET(Gemini抽出データ!$A$1,#REF!,4)</f>
        <v>#REF!</v>
      </c>
      <c r="HV21" t="e">
        <f ca="1">IF(OFFSET(Gemini抽出データ!$A$1,#REF!,5)=0,"",OFFSET(Gemini抽出データ!$A$1,#REF!,5))</f>
        <v>#REF!</v>
      </c>
    </row>
    <row r="22" spans="1:230" ht="17.100000000000001" customHeight="1" x14ac:dyDescent="0.45">
      <c r="A22" s="5">
        <f>J15+1</f>
        <v>13</v>
      </c>
      <c r="B22" s="6">
        <f ca="1">OFFSET(Gemini抽出データ!$A$1,A22,0)</f>
        <v>0</v>
      </c>
      <c r="C22" s="8"/>
      <c r="D22" s="5">
        <f>A22+1</f>
        <v>14</v>
      </c>
      <c r="E22" s="6">
        <f ca="1">OFFSET(Gemini抽出データ!$A$1,D22,0)</f>
        <v>0</v>
      </c>
      <c r="F22" s="8"/>
      <c r="G22" s="9">
        <f>D22+1</f>
        <v>15</v>
      </c>
      <c r="H22" s="6">
        <f ca="1">OFFSET(Gemini抽出データ!$A$1,G22,0)</f>
        <v>0</v>
      </c>
      <c r="I22" s="7"/>
      <c r="J22" s="5">
        <f>G22+1</f>
        <v>16</v>
      </c>
      <c r="K22" s="6">
        <f ca="1">OFFSET(Gemini抽出データ!$A$1,J22,0)</f>
        <v>0</v>
      </c>
      <c r="L22" s="8"/>
      <c r="M22" s="5">
        <f>V15+1</f>
        <v>41</v>
      </c>
      <c r="N22" s="6">
        <f ca="1">OFFSET(Gemini抽出データ!$A$1,M22,0)</f>
        <v>0</v>
      </c>
      <c r="O22" s="8"/>
      <c r="P22" s="5">
        <f>M22+1</f>
        <v>42</v>
      </c>
      <c r="Q22" s="6">
        <f ca="1">OFFSET(Gemini抽出データ!$A$1,P22,0)</f>
        <v>0</v>
      </c>
      <c r="R22" s="8"/>
      <c r="S22" s="9">
        <f>P22+1</f>
        <v>43</v>
      </c>
      <c r="T22" s="6">
        <f ca="1">OFFSET(Gemini抽出データ!$A$1,S22,0)</f>
        <v>0</v>
      </c>
      <c r="U22" s="7"/>
      <c r="V22" s="5">
        <f>S22+1</f>
        <v>44</v>
      </c>
      <c r="W22" s="6">
        <f ca="1">OFFSET(Gemini抽出データ!$A$1,V22,0)</f>
        <v>0</v>
      </c>
      <c r="X22" s="8"/>
      <c r="Y22" s="5">
        <f>AH15+1</f>
        <v>69</v>
      </c>
      <c r="Z22" s="6">
        <f ca="1">OFFSET(Gemini抽出データ!$A$1,Y22,0)</f>
        <v>0</v>
      </c>
      <c r="AA22" s="8"/>
      <c r="AB22" s="5">
        <f>Y22+1</f>
        <v>70</v>
      </c>
      <c r="AC22" s="6">
        <f ca="1">OFFSET(Gemini抽出データ!$A$1,AB22,0)</f>
        <v>0</v>
      </c>
      <c r="AD22" s="8"/>
      <c r="AE22" s="9">
        <f>AB22+1</f>
        <v>71</v>
      </c>
      <c r="AF22" s="6">
        <f ca="1">OFFSET(Gemini抽出データ!$A$1,AE22,0)</f>
        <v>0</v>
      </c>
      <c r="AG22" s="7"/>
      <c r="AH22" s="5">
        <f>AE22+1</f>
        <v>72</v>
      </c>
      <c r="AI22" s="6">
        <f ca="1">OFFSET(Gemini抽出データ!$A$1,AH22,0)</f>
        <v>0</v>
      </c>
      <c r="AJ22" s="8"/>
      <c r="AK22" s="5">
        <f>AT15+1</f>
        <v>97</v>
      </c>
      <c r="AL22" s="6">
        <f ca="1">OFFSET(Gemini抽出データ!$A$1,AK22,0)</f>
        <v>0</v>
      </c>
      <c r="AM22" s="8"/>
      <c r="AN22" s="5">
        <f>AK22+1</f>
        <v>98</v>
      </c>
      <c r="AO22" s="6">
        <f ca="1">OFFSET(Gemini抽出データ!$A$1,AN22,0)</f>
        <v>0</v>
      </c>
      <c r="AP22" s="8"/>
      <c r="AQ22" s="9">
        <f>AN22+1</f>
        <v>99</v>
      </c>
      <c r="AR22" s="6">
        <f ca="1">OFFSET(Gemini抽出データ!$A$1,AQ22,0)</f>
        <v>0</v>
      </c>
      <c r="AS22" s="7"/>
      <c r="AT22" s="5">
        <f>AQ22+1</f>
        <v>100</v>
      </c>
      <c r="AU22" s="6">
        <f ca="1">OFFSET(Gemini抽出データ!$A$1,AT22,0)</f>
        <v>0</v>
      </c>
      <c r="AV22" s="8"/>
      <c r="AW22" s="5">
        <f>BF15+1</f>
        <v>125</v>
      </c>
      <c r="AX22" s="6">
        <f ca="1">OFFSET(Gemini抽出データ!$A$1,AW22,0)</f>
        <v>0</v>
      </c>
      <c r="AY22" s="8"/>
      <c r="AZ22" s="5">
        <f>AW22+1</f>
        <v>126</v>
      </c>
      <c r="BA22" s="6">
        <f ca="1">OFFSET(Gemini抽出データ!$A$1,AZ22,0)</f>
        <v>0</v>
      </c>
      <c r="BB22" s="8"/>
      <c r="BC22" s="9">
        <f>AZ22+1</f>
        <v>127</v>
      </c>
      <c r="BD22" s="6">
        <f ca="1">OFFSET(Gemini抽出データ!$A$1,BC22,0)</f>
        <v>0</v>
      </c>
      <c r="BE22" s="7"/>
      <c r="BF22" s="5">
        <f>BC22+1</f>
        <v>128</v>
      </c>
      <c r="BG22" s="6">
        <f ca="1">OFFSET(Gemini抽出データ!$A$1,BF22,0)</f>
        <v>0</v>
      </c>
      <c r="BH22" s="8"/>
      <c r="BI22" s="5">
        <f>BR15+1</f>
        <v>153</v>
      </c>
      <c r="BJ22" s="6">
        <f ca="1">OFFSET(Gemini抽出データ!$A$1,BI22,0)</f>
        <v>0</v>
      </c>
      <c r="BK22" s="8"/>
      <c r="BL22" s="5">
        <f>BI22+1</f>
        <v>154</v>
      </c>
      <c r="BM22" s="6">
        <f ca="1">OFFSET(Gemini抽出データ!$A$1,BL22,0)</f>
        <v>0</v>
      </c>
      <c r="BN22" s="8"/>
      <c r="BO22" s="9">
        <f>BL22+1</f>
        <v>155</v>
      </c>
      <c r="BP22" s="6">
        <f ca="1">OFFSET(Gemini抽出データ!$A$1,BO22,0)</f>
        <v>0</v>
      </c>
      <c r="BQ22" s="7"/>
      <c r="BR22" s="5">
        <f>BO22+1</f>
        <v>156</v>
      </c>
      <c r="BS22" s="6">
        <f ca="1">OFFSET(Gemini抽出データ!$A$1,BR22,0)</f>
        <v>0</v>
      </c>
      <c r="BT22" s="8"/>
      <c r="BU22" s="5">
        <f>CD15+1</f>
        <v>181</v>
      </c>
      <c r="BV22" s="6">
        <f ca="1">OFFSET(Gemini抽出データ!$A$1,BU22,0)</f>
        <v>0</v>
      </c>
      <c r="BW22" s="8"/>
      <c r="BX22" s="5">
        <f>BU22+1</f>
        <v>182</v>
      </c>
      <c r="BY22" s="6">
        <f ca="1">OFFSET(Gemini抽出データ!$A$1,BX22,0)</f>
        <v>0</v>
      </c>
      <c r="BZ22" s="8"/>
      <c r="CA22" s="9">
        <f>BX22+1</f>
        <v>183</v>
      </c>
      <c r="CB22" s="6">
        <f ca="1">OFFSET(Gemini抽出データ!$A$1,CA22,0)</f>
        <v>0</v>
      </c>
      <c r="CC22" s="7"/>
      <c r="CD22" s="5">
        <f>CA22+1</f>
        <v>184</v>
      </c>
      <c r="CE22" s="6">
        <f ca="1">OFFSET(Gemini抽出データ!$A$1,CD22,0)</f>
        <v>0</v>
      </c>
      <c r="CF22" s="8"/>
      <c r="CG22" s="5">
        <f>CP15+1</f>
        <v>209</v>
      </c>
      <c r="CH22" s="6">
        <f ca="1">OFFSET(Gemini抽出データ!$A$1,CG22,0)</f>
        <v>0</v>
      </c>
      <c r="CI22" s="8"/>
      <c r="CJ22" s="5">
        <f>CG22+1</f>
        <v>210</v>
      </c>
      <c r="CK22" s="6">
        <f ca="1">OFFSET(Gemini抽出データ!$A$1,CJ22,0)</f>
        <v>0</v>
      </c>
      <c r="CL22" s="8"/>
      <c r="CM22" s="9">
        <f>CJ22+1</f>
        <v>211</v>
      </c>
      <c r="CN22" s="6">
        <f ca="1">OFFSET(Gemini抽出データ!$A$1,CM22,0)</f>
        <v>0</v>
      </c>
      <c r="CO22" s="7"/>
      <c r="CP22" s="5">
        <f>CM22+1</f>
        <v>212</v>
      </c>
      <c r="CQ22" s="6">
        <f ca="1">OFFSET(Gemini抽出データ!$A$1,CP22,0)</f>
        <v>0</v>
      </c>
      <c r="CR22" s="8"/>
      <c r="CS22" s="5">
        <f>DB15+1</f>
        <v>237</v>
      </c>
      <c r="CT22" s="6">
        <f ca="1">OFFSET(Gemini抽出データ!$A$1,CS22,0)</f>
        <v>0</v>
      </c>
      <c r="CU22" s="8"/>
      <c r="CV22" s="5">
        <f>CS22+1</f>
        <v>238</v>
      </c>
      <c r="CW22" s="6">
        <f ca="1">OFFSET(Gemini抽出データ!$A$1,CV22,0)</f>
        <v>0</v>
      </c>
      <c r="CX22" s="8"/>
      <c r="CY22" s="9">
        <f>CV22+1</f>
        <v>239</v>
      </c>
      <c r="CZ22" s="6">
        <f ca="1">OFFSET(Gemini抽出データ!$A$1,CY22,0)</f>
        <v>0</v>
      </c>
      <c r="DA22" s="7"/>
      <c r="DB22" s="5">
        <f>CY22+1</f>
        <v>240</v>
      </c>
      <c r="DC22" s="6">
        <f ca="1">OFFSET(Gemini抽出データ!$A$1,DB22,0)</f>
        <v>0</v>
      </c>
      <c r="DD22" s="8"/>
      <c r="DE22" s="5">
        <f>DN15+1</f>
        <v>265</v>
      </c>
      <c r="DF22" s="6">
        <f ca="1">OFFSET(Gemini抽出データ!$A$1,DE22,0)</f>
        <v>0</v>
      </c>
      <c r="DG22" s="8"/>
      <c r="DH22" s="5">
        <f>DE22+1</f>
        <v>266</v>
      </c>
      <c r="DI22" s="6">
        <f ca="1">OFFSET(Gemini抽出データ!$A$1,DH22,0)</f>
        <v>0</v>
      </c>
      <c r="DJ22" s="8"/>
      <c r="DK22" s="9">
        <f>DH22+1</f>
        <v>267</v>
      </c>
      <c r="DL22" s="6">
        <f ca="1">OFFSET(Gemini抽出データ!$A$1,DK22,0)</f>
        <v>0</v>
      </c>
      <c r="DM22" s="7"/>
      <c r="DN22" s="5">
        <f>DK22+1</f>
        <v>268</v>
      </c>
      <c r="DO22" s="6">
        <f ca="1">OFFSET(Gemini抽出データ!$A$1,DN22,0)</f>
        <v>0</v>
      </c>
      <c r="DP22" s="8"/>
      <c r="DQ22" s="5">
        <f>DZ15+1</f>
        <v>293</v>
      </c>
      <c r="DR22" s="6">
        <f ca="1">OFFSET(Gemini抽出データ!$A$1,DQ22,0)</f>
        <v>0</v>
      </c>
      <c r="DS22" s="8"/>
      <c r="DT22" s="5">
        <f>DQ22+1</f>
        <v>294</v>
      </c>
      <c r="DU22" s="6">
        <f ca="1">OFFSET(Gemini抽出データ!$A$1,DT22,0)</f>
        <v>0</v>
      </c>
      <c r="DV22" s="8"/>
      <c r="DW22" s="9">
        <f>DT22+1</f>
        <v>295</v>
      </c>
      <c r="DX22" s="6">
        <f ca="1">OFFSET(Gemini抽出データ!$A$1,DW22,0)</f>
        <v>0</v>
      </c>
      <c r="DY22" s="7"/>
      <c r="DZ22" s="5">
        <f>DW22+1</f>
        <v>296</v>
      </c>
      <c r="EA22" s="6">
        <f ca="1">OFFSET(Gemini抽出データ!$A$1,DZ22,0)</f>
        <v>0</v>
      </c>
      <c r="EB22" s="8"/>
      <c r="EC22" s="5">
        <f>EL15+1</f>
        <v>321</v>
      </c>
      <c r="ED22" s="6">
        <f ca="1">OFFSET(Gemini抽出データ!$A$1,EC22,0)</f>
        <v>0</v>
      </c>
      <c r="EE22" s="8"/>
      <c r="EF22" s="5">
        <f>EC22+1</f>
        <v>322</v>
      </c>
      <c r="EG22" s="6">
        <f ca="1">OFFSET(Gemini抽出データ!$A$1,EF22,0)</f>
        <v>0</v>
      </c>
      <c r="EH22" s="8"/>
      <c r="EI22" s="9">
        <f>EF22+1</f>
        <v>323</v>
      </c>
      <c r="EJ22" s="6">
        <f ca="1">OFFSET(Gemini抽出データ!$A$1,EI22,0)</f>
        <v>0</v>
      </c>
      <c r="EK22" s="7"/>
      <c r="EL22" s="5">
        <f>EI22+1</f>
        <v>324</v>
      </c>
      <c r="EM22" s="6">
        <f ca="1">OFFSET(Gemini抽出データ!$A$1,EL22,0)</f>
        <v>0</v>
      </c>
      <c r="EN22" s="8"/>
      <c r="EO22" s="5">
        <f>EX15+1</f>
        <v>349</v>
      </c>
      <c r="EP22" s="6">
        <f ca="1">OFFSET(Gemini抽出データ!$A$1,EO22,0)</f>
        <v>0</v>
      </c>
      <c r="EQ22" s="8"/>
      <c r="ER22" s="5">
        <f>EO22+1</f>
        <v>350</v>
      </c>
      <c r="ES22" s="6">
        <f ca="1">OFFSET(Gemini抽出データ!$A$1,ER22,0)</f>
        <v>0</v>
      </c>
      <c r="ET22" s="8"/>
      <c r="EU22" s="9">
        <f>ER22+1</f>
        <v>351</v>
      </c>
      <c r="EV22" s="6">
        <f ca="1">OFFSET(Gemini抽出データ!$A$1,EU22,0)</f>
        <v>0</v>
      </c>
      <c r="EW22" s="7"/>
      <c r="EX22" s="5">
        <f>EU22+1</f>
        <v>352</v>
      </c>
      <c r="EY22" s="6">
        <f ca="1">OFFSET(Gemini抽出データ!$A$1,EX22,0)</f>
        <v>0</v>
      </c>
      <c r="EZ22" s="8"/>
      <c r="FA22" s="5">
        <f>FJ15+1</f>
        <v>377</v>
      </c>
      <c r="FB22" s="6">
        <f ca="1">OFFSET(Gemini抽出データ!$A$1,FA22,0)</f>
        <v>0</v>
      </c>
      <c r="FC22" s="8"/>
      <c r="FD22" s="5">
        <f>FA22+1</f>
        <v>378</v>
      </c>
      <c r="FE22" s="6">
        <f ca="1">OFFSET(Gemini抽出データ!$A$1,FD22,0)</f>
        <v>0</v>
      </c>
      <c r="FF22" s="8"/>
      <c r="FG22" s="9">
        <f>FD22+1</f>
        <v>379</v>
      </c>
      <c r="FH22" s="6">
        <f ca="1">OFFSET(Gemini抽出データ!$A$1,FG22,0)</f>
        <v>0</v>
      </c>
      <c r="FI22" s="7"/>
      <c r="FJ22" s="5">
        <f>FG22+1</f>
        <v>380</v>
      </c>
      <c r="FK22" s="6">
        <f ca="1">OFFSET(Gemini抽出データ!$A$1,FJ22,0)</f>
        <v>0</v>
      </c>
      <c r="FL22" s="8"/>
      <c r="FM22" s="5">
        <f>FV15+1</f>
        <v>405</v>
      </c>
      <c r="FN22" s="6">
        <f ca="1">OFFSET(Gemini抽出データ!$A$1,FM22,0)</f>
        <v>0</v>
      </c>
      <c r="FO22" s="8"/>
      <c r="FP22" s="5">
        <f>FM22+1</f>
        <v>406</v>
      </c>
      <c r="FQ22" s="6">
        <f ca="1">OFFSET(Gemini抽出データ!$A$1,FP22,0)</f>
        <v>0</v>
      </c>
      <c r="FR22" s="8"/>
      <c r="FS22" s="9">
        <f>FP22+1</f>
        <v>407</v>
      </c>
      <c r="FT22" s="6">
        <f ca="1">OFFSET(Gemini抽出データ!$A$1,FS22,0)</f>
        <v>0</v>
      </c>
      <c r="FU22" s="7"/>
      <c r="FV22" s="5">
        <f>FS22+1</f>
        <v>408</v>
      </c>
      <c r="FW22" s="6">
        <f ca="1">OFFSET(Gemini抽出データ!$A$1,FV22,0)</f>
        <v>0</v>
      </c>
      <c r="FX22" s="8"/>
      <c r="FY22" s="5">
        <f>GH15+1</f>
        <v>433</v>
      </c>
      <c r="FZ22" s="6">
        <f ca="1">OFFSET(Gemini抽出データ!$A$1,FY22,0)</f>
        <v>0</v>
      </c>
      <c r="GA22" s="8"/>
      <c r="GB22" s="5">
        <f>FY22+1</f>
        <v>434</v>
      </c>
      <c r="GC22" s="6">
        <f ca="1">OFFSET(Gemini抽出データ!$A$1,GB22,0)</f>
        <v>0</v>
      </c>
      <c r="GD22" s="8"/>
      <c r="GE22" s="9">
        <f>GB22+1</f>
        <v>435</v>
      </c>
      <c r="GF22" s="6">
        <f ca="1">OFFSET(Gemini抽出データ!$A$1,GE22,0)</f>
        <v>0</v>
      </c>
      <c r="GG22" s="7"/>
      <c r="GH22" s="5">
        <f>GE22+1</f>
        <v>436</v>
      </c>
      <c r="GI22" s="6">
        <f ca="1">OFFSET(Gemini抽出データ!$A$1,GH22,0)</f>
        <v>0</v>
      </c>
      <c r="GJ22" s="8"/>
      <c r="GK22" s="5">
        <f>GT15+1</f>
        <v>461</v>
      </c>
      <c r="GL22" s="6">
        <f ca="1">OFFSET(Gemini抽出データ!$A$1,GK22,0)</f>
        <v>0</v>
      </c>
      <c r="GM22" s="8"/>
      <c r="GN22" s="5">
        <f>GK22+1</f>
        <v>462</v>
      </c>
      <c r="GO22" s="6">
        <f ca="1">OFFSET(Gemini抽出データ!$A$1,GN22,0)</f>
        <v>0</v>
      </c>
      <c r="GP22" s="8"/>
      <c r="GQ22" s="9">
        <f>GN22+1</f>
        <v>463</v>
      </c>
      <c r="GR22" s="6">
        <f ca="1">OFFSET(Gemini抽出データ!$A$1,GQ22,0)</f>
        <v>0</v>
      </c>
      <c r="GS22" s="7"/>
      <c r="GT22" s="5">
        <f>GQ22+1</f>
        <v>464</v>
      </c>
      <c r="GU22" s="6">
        <f ca="1">OFFSET(Gemini抽出データ!$A$1,GT22,0)</f>
        <v>0</v>
      </c>
      <c r="GV22" s="8"/>
      <c r="GW22" s="5">
        <f>HF15+1</f>
        <v>489</v>
      </c>
      <c r="GX22" s="6">
        <f ca="1">OFFSET(Gemini抽出データ!$A$1,GW22,0)</f>
        <v>0</v>
      </c>
      <c r="GY22" s="8"/>
      <c r="GZ22" s="5">
        <f>GW22+1</f>
        <v>490</v>
      </c>
      <c r="HA22" s="6">
        <f ca="1">OFFSET(Gemini抽出データ!$A$1,GZ22,0)</f>
        <v>0</v>
      </c>
      <c r="HB22" s="8"/>
      <c r="HC22" s="9">
        <f>GZ22+1</f>
        <v>491</v>
      </c>
      <c r="HD22" s="6">
        <f ca="1">OFFSET(Gemini抽出データ!$A$1,HC22,0)</f>
        <v>0</v>
      </c>
      <c r="HE22" s="7"/>
      <c r="HF22" s="5">
        <f>HC22+1</f>
        <v>492</v>
      </c>
      <c r="HG22" s="6">
        <f ca="1">OFFSET(Gemini抽出データ!$A$1,HF22,0)</f>
        <v>0</v>
      </c>
      <c r="HH22" s="8"/>
      <c r="HI22" s="5">
        <f>HR15+1</f>
        <v>517</v>
      </c>
      <c r="HJ22" s="6">
        <f ca="1">OFFSET(Gemini抽出データ!$A$1,HI22,0)</f>
        <v>0</v>
      </c>
      <c r="HK22" s="8"/>
      <c r="HL22" s="5">
        <f>HI22+1</f>
        <v>518</v>
      </c>
      <c r="HM22" s="6">
        <f ca="1">OFFSET(Gemini抽出データ!$A$1,HL22,0)</f>
        <v>0</v>
      </c>
      <c r="HN22" s="8"/>
      <c r="HO22" s="9">
        <f>HL22+1</f>
        <v>519</v>
      </c>
      <c r="HP22" s="6">
        <f ca="1">OFFSET(Gemini抽出データ!$A$1,HO22,0)</f>
        <v>0</v>
      </c>
      <c r="HQ22" s="7"/>
      <c r="HR22" s="5">
        <f>HO22+1</f>
        <v>520</v>
      </c>
      <c r="HS22" s="6">
        <f ca="1">OFFSET(Gemini抽出データ!$A$1,HR22,0)</f>
        <v>0</v>
      </c>
      <c r="HT22" s="8"/>
      <c r="HU22" s="4" t="e">
        <f ca="1">OFFSET(Gemini抽出データ!$A$1,#REF!,0)</f>
        <v>#REF!</v>
      </c>
      <c r="HV22" s="3"/>
    </row>
    <row r="23" spans="1:230" ht="17.100000000000001" customHeight="1" x14ac:dyDescent="0.45">
      <c r="A23" s="10" t="str">
        <f>"クライアント名"&amp;A$1</f>
        <v>クライアント名1</v>
      </c>
      <c r="B23" s="11">
        <f ca="1">OFFSET(Gemini抽出データ!$A$1,A22,2)</f>
        <v>0</v>
      </c>
      <c r="C23" s="12"/>
      <c r="D23" s="10" t="str">
        <f>"クライアント名"&amp;D$1</f>
        <v>クライアント名2</v>
      </c>
      <c r="E23" s="11">
        <f ca="1">OFFSET(Gemini抽出データ!$A$1,D22,2)</f>
        <v>0</v>
      </c>
      <c r="F23" s="12"/>
      <c r="G23" s="13" t="str">
        <f>"クライアント名"&amp;G$1</f>
        <v>クライアント名3</v>
      </c>
      <c r="H23" s="11">
        <f ca="1">OFFSET(Gemini抽出データ!$A$1,G22,2)</f>
        <v>0</v>
      </c>
      <c r="I23" s="11"/>
      <c r="J23" s="10" t="str">
        <f>"クライアント名"&amp;J$1</f>
        <v>クライアント名4</v>
      </c>
      <c r="K23" s="11">
        <f ca="1">OFFSET(Gemini抽出データ!$A$1,J22,2)</f>
        <v>0</v>
      </c>
      <c r="L23" s="12"/>
      <c r="M23" s="10" t="str">
        <f>"クライアント名"&amp;M$1</f>
        <v>クライアント名29</v>
      </c>
      <c r="N23" s="11">
        <f ca="1">OFFSET(Gemini抽出データ!$A$1,M22,2)</f>
        <v>0</v>
      </c>
      <c r="O23" s="12"/>
      <c r="P23" s="10" t="str">
        <f>"クライアント名"&amp;P$1</f>
        <v>クライアント名30</v>
      </c>
      <c r="Q23" s="11">
        <f ca="1">OFFSET(Gemini抽出データ!$A$1,P22,2)</f>
        <v>0</v>
      </c>
      <c r="R23" s="12"/>
      <c r="S23" s="13" t="str">
        <f>"クライアント名"&amp;S$1</f>
        <v>クライアント名31</v>
      </c>
      <c r="T23" s="11">
        <f ca="1">OFFSET(Gemini抽出データ!$A$1,S22,2)</f>
        <v>0</v>
      </c>
      <c r="U23" s="11"/>
      <c r="V23" s="10" t="str">
        <f>"クライアント名"&amp;V$1</f>
        <v>クライアント名32</v>
      </c>
      <c r="W23" s="11">
        <f ca="1">OFFSET(Gemini抽出データ!$A$1,V22,2)</f>
        <v>0</v>
      </c>
      <c r="X23" s="12"/>
      <c r="Y23" s="10" t="str">
        <f>"クライアント名"&amp;Y$1</f>
        <v>クライアント名57</v>
      </c>
      <c r="Z23" s="11">
        <f ca="1">OFFSET(Gemini抽出データ!$A$1,Y22,2)</f>
        <v>0</v>
      </c>
      <c r="AA23" s="12"/>
      <c r="AB23" s="10" t="str">
        <f>"クライアント名"&amp;AB$1</f>
        <v>クライアント名58</v>
      </c>
      <c r="AC23" s="11">
        <f ca="1">OFFSET(Gemini抽出データ!$A$1,AB22,2)</f>
        <v>0</v>
      </c>
      <c r="AD23" s="12"/>
      <c r="AE23" s="13" t="str">
        <f>"クライアント名"&amp;AE$1</f>
        <v>クライアント名59</v>
      </c>
      <c r="AF23" s="11">
        <f ca="1">OFFSET(Gemini抽出データ!$A$1,AE22,2)</f>
        <v>0</v>
      </c>
      <c r="AG23" s="11"/>
      <c r="AH23" s="10" t="str">
        <f>"クライアント名"&amp;AH$1</f>
        <v>クライアント名60</v>
      </c>
      <c r="AI23" s="11">
        <f ca="1">OFFSET(Gemini抽出データ!$A$1,AH22,2)</f>
        <v>0</v>
      </c>
      <c r="AJ23" s="12"/>
      <c r="AK23" s="10" t="str">
        <f>"クライアント名"&amp;AK$1</f>
        <v>クライアント名85</v>
      </c>
      <c r="AL23" s="11">
        <f ca="1">OFFSET(Gemini抽出データ!$A$1,AK22,2)</f>
        <v>0</v>
      </c>
      <c r="AM23" s="12"/>
      <c r="AN23" s="10" t="str">
        <f>"クライアント名"&amp;AN$1</f>
        <v>クライアント名86</v>
      </c>
      <c r="AO23" s="11">
        <f ca="1">OFFSET(Gemini抽出データ!$A$1,AN22,2)</f>
        <v>0</v>
      </c>
      <c r="AP23" s="12"/>
      <c r="AQ23" s="13" t="str">
        <f>"クライアント名"&amp;AQ$1</f>
        <v>クライアント名87</v>
      </c>
      <c r="AR23" s="11">
        <f ca="1">OFFSET(Gemini抽出データ!$A$1,AQ22,2)</f>
        <v>0</v>
      </c>
      <c r="AS23" s="11"/>
      <c r="AT23" s="10" t="str">
        <f>"クライアント名"&amp;AT$1</f>
        <v>クライアント名88</v>
      </c>
      <c r="AU23" s="11">
        <f ca="1">OFFSET(Gemini抽出データ!$A$1,AT22,2)</f>
        <v>0</v>
      </c>
      <c r="AV23" s="12"/>
      <c r="AW23" s="10" t="str">
        <f>"クライアント名"&amp;AW$1</f>
        <v>クライアント名113</v>
      </c>
      <c r="AX23" s="11">
        <f ca="1">OFFSET(Gemini抽出データ!$A$1,AW22,2)</f>
        <v>0</v>
      </c>
      <c r="AY23" s="12"/>
      <c r="AZ23" s="10" t="str">
        <f>"クライアント名"&amp;AZ$1</f>
        <v>クライアント名114</v>
      </c>
      <c r="BA23" s="11">
        <f ca="1">OFFSET(Gemini抽出データ!$A$1,AZ22,2)</f>
        <v>0</v>
      </c>
      <c r="BB23" s="12"/>
      <c r="BC23" s="13" t="str">
        <f>"クライアント名"&amp;BC$1</f>
        <v>クライアント名115</v>
      </c>
      <c r="BD23" s="11">
        <f ca="1">OFFSET(Gemini抽出データ!$A$1,BC22,2)</f>
        <v>0</v>
      </c>
      <c r="BE23" s="11"/>
      <c r="BF23" s="10" t="str">
        <f>"クライアント名"&amp;BF$1</f>
        <v>クライアント名116</v>
      </c>
      <c r="BG23" s="11">
        <f ca="1">OFFSET(Gemini抽出データ!$A$1,BF22,2)</f>
        <v>0</v>
      </c>
      <c r="BH23" s="12"/>
      <c r="BI23" s="10" t="str">
        <f>"クライアント名"&amp;BI$1</f>
        <v>クライアント名141</v>
      </c>
      <c r="BJ23" s="11">
        <f ca="1">OFFSET(Gemini抽出データ!$A$1,BI22,2)</f>
        <v>0</v>
      </c>
      <c r="BK23" s="12"/>
      <c r="BL23" s="10" t="str">
        <f>"クライアント名"&amp;BL$1</f>
        <v>クライアント名142</v>
      </c>
      <c r="BM23" s="11">
        <f ca="1">OFFSET(Gemini抽出データ!$A$1,BL22,2)</f>
        <v>0</v>
      </c>
      <c r="BN23" s="12"/>
      <c r="BO23" s="13" t="str">
        <f>"クライアント名"&amp;BO$1</f>
        <v>クライアント名143</v>
      </c>
      <c r="BP23" s="11">
        <f ca="1">OFFSET(Gemini抽出データ!$A$1,BO22,2)</f>
        <v>0</v>
      </c>
      <c r="BQ23" s="11"/>
      <c r="BR23" s="10" t="str">
        <f>"クライアント名"&amp;BR$1</f>
        <v>クライアント名144</v>
      </c>
      <c r="BS23" s="11">
        <f ca="1">OFFSET(Gemini抽出データ!$A$1,BR22,2)</f>
        <v>0</v>
      </c>
      <c r="BT23" s="12"/>
      <c r="BU23" s="10" t="str">
        <f>"クライアント名"&amp;BU$1</f>
        <v>クライアント名169</v>
      </c>
      <c r="BV23" s="11">
        <f ca="1">OFFSET(Gemini抽出データ!$A$1,BU22,2)</f>
        <v>0</v>
      </c>
      <c r="BW23" s="12"/>
      <c r="BX23" s="10" t="str">
        <f>"クライアント名"&amp;BX$1</f>
        <v>クライアント名170</v>
      </c>
      <c r="BY23" s="11">
        <f ca="1">OFFSET(Gemini抽出データ!$A$1,BX22,2)</f>
        <v>0</v>
      </c>
      <c r="BZ23" s="12"/>
      <c r="CA23" s="13" t="str">
        <f>"クライアント名"&amp;CA$1</f>
        <v>クライアント名171</v>
      </c>
      <c r="CB23" s="11">
        <f ca="1">OFFSET(Gemini抽出データ!$A$1,CA22,2)</f>
        <v>0</v>
      </c>
      <c r="CC23" s="11"/>
      <c r="CD23" s="10" t="str">
        <f>"クライアント名"&amp;CD$1</f>
        <v>クライアント名172</v>
      </c>
      <c r="CE23" s="11">
        <f ca="1">OFFSET(Gemini抽出データ!$A$1,CD22,2)</f>
        <v>0</v>
      </c>
      <c r="CF23" s="12"/>
      <c r="CG23" s="10" t="str">
        <f>"クライアント名"&amp;CG$1</f>
        <v>クライアント名197</v>
      </c>
      <c r="CH23" s="11">
        <f ca="1">OFFSET(Gemini抽出データ!$A$1,CG22,2)</f>
        <v>0</v>
      </c>
      <c r="CI23" s="12"/>
      <c r="CJ23" s="10" t="str">
        <f>"クライアント名"&amp;CJ$1</f>
        <v>クライアント名198</v>
      </c>
      <c r="CK23" s="11">
        <f ca="1">OFFSET(Gemini抽出データ!$A$1,CJ22,2)</f>
        <v>0</v>
      </c>
      <c r="CL23" s="12"/>
      <c r="CM23" s="13" t="str">
        <f>"クライアント名"&amp;CM$1</f>
        <v>クライアント名199</v>
      </c>
      <c r="CN23" s="11">
        <f ca="1">OFFSET(Gemini抽出データ!$A$1,CM22,2)</f>
        <v>0</v>
      </c>
      <c r="CO23" s="11"/>
      <c r="CP23" s="10" t="str">
        <f>"クライアント名"&amp;CP$1</f>
        <v>クライアント名200</v>
      </c>
      <c r="CQ23" s="11">
        <f ca="1">OFFSET(Gemini抽出データ!$A$1,CP22,2)</f>
        <v>0</v>
      </c>
      <c r="CR23" s="12"/>
      <c r="CS23" s="10" t="str">
        <f>"クライアント名"&amp;CS$1</f>
        <v>クライアント名225</v>
      </c>
      <c r="CT23" s="11">
        <f ca="1">OFFSET(Gemini抽出データ!$A$1,CS22,2)</f>
        <v>0</v>
      </c>
      <c r="CU23" s="12"/>
      <c r="CV23" s="10" t="str">
        <f>"クライアント名"&amp;CV$1</f>
        <v>クライアント名226</v>
      </c>
      <c r="CW23" s="11">
        <f ca="1">OFFSET(Gemini抽出データ!$A$1,CV22,2)</f>
        <v>0</v>
      </c>
      <c r="CX23" s="12"/>
      <c r="CY23" s="13" t="str">
        <f>"クライアント名"&amp;CY$1</f>
        <v>クライアント名227</v>
      </c>
      <c r="CZ23" s="11">
        <f ca="1">OFFSET(Gemini抽出データ!$A$1,CY22,2)</f>
        <v>0</v>
      </c>
      <c r="DA23" s="11"/>
      <c r="DB23" s="10" t="str">
        <f>"クライアント名"&amp;DB$1</f>
        <v>クライアント名228</v>
      </c>
      <c r="DC23" s="11">
        <f ca="1">OFFSET(Gemini抽出データ!$A$1,DB22,2)</f>
        <v>0</v>
      </c>
      <c r="DD23" s="12"/>
      <c r="DE23" s="10" t="str">
        <f>"クライアント名"&amp;DE$1</f>
        <v>クライアント名253</v>
      </c>
      <c r="DF23" s="11">
        <f ca="1">OFFSET(Gemini抽出データ!$A$1,DE22,2)</f>
        <v>0</v>
      </c>
      <c r="DG23" s="12"/>
      <c r="DH23" s="10" t="str">
        <f>"クライアント名"&amp;DH$1</f>
        <v>クライアント名254</v>
      </c>
      <c r="DI23" s="11">
        <f ca="1">OFFSET(Gemini抽出データ!$A$1,DH22,2)</f>
        <v>0</v>
      </c>
      <c r="DJ23" s="12"/>
      <c r="DK23" s="13" t="str">
        <f>"クライアント名"&amp;DK$1</f>
        <v>クライアント名255</v>
      </c>
      <c r="DL23" s="11">
        <f ca="1">OFFSET(Gemini抽出データ!$A$1,DK22,2)</f>
        <v>0</v>
      </c>
      <c r="DM23" s="11"/>
      <c r="DN23" s="10" t="str">
        <f>"クライアント名"&amp;DN$1</f>
        <v>クライアント名256</v>
      </c>
      <c r="DO23" s="11">
        <f ca="1">OFFSET(Gemini抽出データ!$A$1,DN22,2)</f>
        <v>0</v>
      </c>
      <c r="DP23" s="12"/>
      <c r="DQ23" s="10" t="str">
        <f>"クライアント名"&amp;DQ$1</f>
        <v>クライアント名281</v>
      </c>
      <c r="DR23" s="11">
        <f ca="1">OFFSET(Gemini抽出データ!$A$1,DQ22,2)</f>
        <v>0</v>
      </c>
      <c r="DS23" s="12"/>
      <c r="DT23" s="10" t="str">
        <f>"クライアント名"&amp;DT$1</f>
        <v>クライアント名282</v>
      </c>
      <c r="DU23" s="11">
        <f ca="1">OFFSET(Gemini抽出データ!$A$1,DT22,2)</f>
        <v>0</v>
      </c>
      <c r="DV23" s="12"/>
      <c r="DW23" s="13" t="str">
        <f>"クライアント名"&amp;DW$1</f>
        <v>クライアント名283</v>
      </c>
      <c r="DX23" s="11">
        <f ca="1">OFFSET(Gemini抽出データ!$A$1,DW22,2)</f>
        <v>0</v>
      </c>
      <c r="DY23" s="11"/>
      <c r="DZ23" s="10" t="str">
        <f>"クライアント名"&amp;DZ$1</f>
        <v>クライアント名284</v>
      </c>
      <c r="EA23" s="11">
        <f ca="1">OFFSET(Gemini抽出データ!$A$1,DZ22,2)</f>
        <v>0</v>
      </c>
      <c r="EB23" s="12"/>
      <c r="EC23" s="10" t="str">
        <f>"クライアント名"&amp;EC$1</f>
        <v>クライアント名309</v>
      </c>
      <c r="ED23" s="11">
        <f ca="1">OFFSET(Gemini抽出データ!$A$1,EC22,2)</f>
        <v>0</v>
      </c>
      <c r="EE23" s="12"/>
      <c r="EF23" s="10" t="str">
        <f>"クライアント名"&amp;EF$1</f>
        <v>クライアント名310</v>
      </c>
      <c r="EG23" s="11">
        <f ca="1">OFFSET(Gemini抽出データ!$A$1,EF22,2)</f>
        <v>0</v>
      </c>
      <c r="EH23" s="12"/>
      <c r="EI23" s="13" t="str">
        <f>"クライアント名"&amp;EI$1</f>
        <v>クライアント名311</v>
      </c>
      <c r="EJ23" s="11">
        <f ca="1">OFFSET(Gemini抽出データ!$A$1,EI22,2)</f>
        <v>0</v>
      </c>
      <c r="EK23" s="11"/>
      <c r="EL23" s="10" t="str">
        <f>"クライアント名"&amp;EL$1</f>
        <v>クライアント名312</v>
      </c>
      <c r="EM23" s="11">
        <f ca="1">OFFSET(Gemini抽出データ!$A$1,EL22,2)</f>
        <v>0</v>
      </c>
      <c r="EN23" s="12"/>
      <c r="EO23" s="10" t="str">
        <f>"クライアント名"&amp;EO$1</f>
        <v>クライアント名337</v>
      </c>
      <c r="EP23" s="11">
        <f ca="1">OFFSET(Gemini抽出データ!$A$1,EO22,2)</f>
        <v>0</v>
      </c>
      <c r="EQ23" s="12"/>
      <c r="ER23" s="10" t="str">
        <f>"クライアント名"&amp;ER$1</f>
        <v>クライアント名338</v>
      </c>
      <c r="ES23" s="11">
        <f ca="1">OFFSET(Gemini抽出データ!$A$1,ER22,2)</f>
        <v>0</v>
      </c>
      <c r="ET23" s="12"/>
      <c r="EU23" s="13" t="str">
        <f>"クライアント名"&amp;EU$1</f>
        <v>クライアント名339</v>
      </c>
      <c r="EV23" s="11">
        <f ca="1">OFFSET(Gemini抽出データ!$A$1,EU22,2)</f>
        <v>0</v>
      </c>
      <c r="EW23" s="11"/>
      <c r="EX23" s="10" t="str">
        <f>"クライアント名"&amp;EX$1</f>
        <v>クライアント名340</v>
      </c>
      <c r="EY23" s="11">
        <f ca="1">OFFSET(Gemini抽出データ!$A$1,EX22,2)</f>
        <v>0</v>
      </c>
      <c r="EZ23" s="12"/>
      <c r="FA23" s="10" t="str">
        <f>"クライアント名"&amp;FA$1</f>
        <v>クライアント名365</v>
      </c>
      <c r="FB23" s="11">
        <f ca="1">OFFSET(Gemini抽出データ!$A$1,FA22,2)</f>
        <v>0</v>
      </c>
      <c r="FC23" s="12"/>
      <c r="FD23" s="10" t="str">
        <f>"クライアント名"&amp;FD$1</f>
        <v>クライアント名366</v>
      </c>
      <c r="FE23" s="11">
        <f ca="1">OFFSET(Gemini抽出データ!$A$1,FD22,2)</f>
        <v>0</v>
      </c>
      <c r="FF23" s="12"/>
      <c r="FG23" s="13" t="str">
        <f>"クライアント名"&amp;FG$1</f>
        <v>クライアント名367</v>
      </c>
      <c r="FH23" s="11">
        <f ca="1">OFFSET(Gemini抽出データ!$A$1,FG22,2)</f>
        <v>0</v>
      </c>
      <c r="FI23" s="11"/>
      <c r="FJ23" s="10" t="str">
        <f>"クライアント名"&amp;FJ$1</f>
        <v>クライアント名368</v>
      </c>
      <c r="FK23" s="11">
        <f ca="1">OFFSET(Gemini抽出データ!$A$1,FJ22,2)</f>
        <v>0</v>
      </c>
      <c r="FL23" s="12"/>
      <c r="FM23" s="10" t="str">
        <f>"クライアント名"&amp;FM$1</f>
        <v>クライアント名393</v>
      </c>
      <c r="FN23" s="11">
        <f ca="1">OFFSET(Gemini抽出データ!$A$1,FM22,2)</f>
        <v>0</v>
      </c>
      <c r="FO23" s="12"/>
      <c r="FP23" s="10" t="str">
        <f>"クライアント名"&amp;FP$1</f>
        <v>クライアント名394</v>
      </c>
      <c r="FQ23" s="11">
        <f ca="1">OFFSET(Gemini抽出データ!$A$1,FP22,2)</f>
        <v>0</v>
      </c>
      <c r="FR23" s="12"/>
      <c r="FS23" s="13" t="str">
        <f>"クライアント名"&amp;FS$1</f>
        <v>クライアント名395</v>
      </c>
      <c r="FT23" s="11">
        <f ca="1">OFFSET(Gemini抽出データ!$A$1,FS22,2)</f>
        <v>0</v>
      </c>
      <c r="FU23" s="11"/>
      <c r="FV23" s="10" t="str">
        <f>"クライアント名"&amp;FV$1</f>
        <v>クライアント名396</v>
      </c>
      <c r="FW23" s="11">
        <f ca="1">OFFSET(Gemini抽出データ!$A$1,FV22,2)</f>
        <v>0</v>
      </c>
      <c r="FX23" s="12"/>
      <c r="FY23" s="10" t="str">
        <f>"クライアント名"&amp;FY$1</f>
        <v>クライアント名421</v>
      </c>
      <c r="FZ23" s="11">
        <f ca="1">OFFSET(Gemini抽出データ!$A$1,FY22,2)</f>
        <v>0</v>
      </c>
      <c r="GA23" s="12"/>
      <c r="GB23" s="10" t="str">
        <f>"クライアント名"&amp;GB$1</f>
        <v>クライアント名422</v>
      </c>
      <c r="GC23" s="11">
        <f ca="1">OFFSET(Gemini抽出データ!$A$1,GB22,2)</f>
        <v>0</v>
      </c>
      <c r="GD23" s="12"/>
      <c r="GE23" s="13" t="str">
        <f>"クライアント名"&amp;GE$1</f>
        <v>クライアント名423</v>
      </c>
      <c r="GF23" s="11">
        <f ca="1">OFFSET(Gemini抽出データ!$A$1,GE22,2)</f>
        <v>0</v>
      </c>
      <c r="GG23" s="11"/>
      <c r="GH23" s="10" t="str">
        <f>"クライアント名"&amp;GH$1</f>
        <v>クライアント名424</v>
      </c>
      <c r="GI23" s="11">
        <f ca="1">OFFSET(Gemini抽出データ!$A$1,GH22,2)</f>
        <v>0</v>
      </c>
      <c r="GJ23" s="12"/>
      <c r="GK23" s="10" t="str">
        <f>"クライアント名"&amp;GK$1</f>
        <v>クライアント名449</v>
      </c>
      <c r="GL23" s="11">
        <f ca="1">OFFSET(Gemini抽出データ!$A$1,GK22,2)</f>
        <v>0</v>
      </c>
      <c r="GM23" s="12"/>
      <c r="GN23" s="10" t="str">
        <f>"クライアント名"&amp;GN$1</f>
        <v>クライアント名450</v>
      </c>
      <c r="GO23" s="11">
        <f ca="1">OFFSET(Gemini抽出データ!$A$1,GN22,2)</f>
        <v>0</v>
      </c>
      <c r="GP23" s="12"/>
      <c r="GQ23" s="13" t="str">
        <f>"クライアント名"&amp;GQ$1</f>
        <v>クライアント名451</v>
      </c>
      <c r="GR23" s="11">
        <f ca="1">OFFSET(Gemini抽出データ!$A$1,GQ22,2)</f>
        <v>0</v>
      </c>
      <c r="GS23" s="11"/>
      <c r="GT23" s="10" t="str">
        <f>"クライアント名"&amp;GT$1</f>
        <v>クライアント名452</v>
      </c>
      <c r="GU23" s="11">
        <f ca="1">OFFSET(Gemini抽出データ!$A$1,GT22,2)</f>
        <v>0</v>
      </c>
      <c r="GV23" s="12"/>
      <c r="GW23" s="10" t="str">
        <f>"クライアント名"&amp;GW$1</f>
        <v>クライアント名477</v>
      </c>
      <c r="GX23" s="11">
        <f ca="1">OFFSET(Gemini抽出データ!$A$1,GW22,2)</f>
        <v>0</v>
      </c>
      <c r="GY23" s="12"/>
      <c r="GZ23" s="10" t="str">
        <f>"クライアント名"&amp;GZ$1</f>
        <v>クライアント名478</v>
      </c>
      <c r="HA23" s="11">
        <f ca="1">OFFSET(Gemini抽出データ!$A$1,GZ22,2)</f>
        <v>0</v>
      </c>
      <c r="HB23" s="12"/>
      <c r="HC23" s="13" t="str">
        <f>"クライアント名"&amp;HC$1</f>
        <v>クライアント名479</v>
      </c>
      <c r="HD23" s="11">
        <f ca="1">OFFSET(Gemini抽出データ!$A$1,HC22,2)</f>
        <v>0</v>
      </c>
      <c r="HE23" s="11"/>
      <c r="HF23" s="10" t="str">
        <f>"クライアント名"&amp;HF$1</f>
        <v>クライアント名480</v>
      </c>
      <c r="HG23" s="11">
        <f ca="1">OFFSET(Gemini抽出データ!$A$1,HF22,2)</f>
        <v>0</v>
      </c>
      <c r="HH23" s="12"/>
      <c r="HI23" s="10" t="str">
        <f>"クライアント名"&amp;HI$1</f>
        <v>クライアント名505</v>
      </c>
      <c r="HJ23" s="11">
        <f ca="1">OFFSET(Gemini抽出データ!$A$1,HI22,2)</f>
        <v>0</v>
      </c>
      <c r="HK23" s="12"/>
      <c r="HL23" s="10" t="str">
        <f>"クライアント名"&amp;HL$1</f>
        <v>クライアント名506</v>
      </c>
      <c r="HM23" s="11">
        <f ca="1">OFFSET(Gemini抽出データ!$A$1,HL22,2)</f>
        <v>0</v>
      </c>
      <c r="HN23" s="12"/>
      <c r="HO23" s="13" t="str">
        <f>"クライアント名"&amp;HO$1</f>
        <v>クライアント名507</v>
      </c>
      <c r="HP23" s="11">
        <f ca="1">OFFSET(Gemini抽出データ!$A$1,HO22,2)</f>
        <v>0</v>
      </c>
      <c r="HQ23" s="11"/>
      <c r="HR23" s="10" t="str">
        <f>"クライアント名"&amp;HR$1</f>
        <v>クライアント名508</v>
      </c>
      <c r="HS23" s="11">
        <f ca="1">OFFSET(Gemini抽出データ!$A$1,HR22,2)</f>
        <v>0</v>
      </c>
      <c r="HT23" s="12"/>
      <c r="HU23" t="e">
        <f ca="1">OFFSET(Gemini抽出データ!$A$1,#REF!,2)</f>
        <v>#REF!</v>
      </c>
    </row>
    <row r="24" spans="1:230" ht="17.100000000000001" customHeight="1" x14ac:dyDescent="0.45">
      <c r="A24" s="10" t="str">
        <f>"種類"&amp;A$1</f>
        <v>種類1</v>
      </c>
      <c r="B24" s="25" t="str">
        <f ca="1">IF(OFFSET(Gemini抽出データ!$A$1,A22,1)=0,"",OFFSET(Gemini抽出データ!$A$1,A22,1))</f>
        <v/>
      </c>
      <c r="C24" s="27"/>
      <c r="D24" s="30" t="str">
        <f>"学年"&amp;D$1</f>
        <v>学年2</v>
      </c>
      <c r="E24" s="25" t="str">
        <f ca="1">IF(OFFSET(Gemini抽出データ!$A$1,D22,1)=0,"",OFFSET(Gemini抽出データ!$A$1,D22,1))</f>
        <v/>
      </c>
      <c r="F24" s="27"/>
      <c r="G24" s="31" t="str">
        <f>"学年"&amp;G$1</f>
        <v>学年3</v>
      </c>
      <c r="H24" s="25" t="str">
        <f ca="1">IF(OFFSET(Gemini抽出データ!$A$1,G22,1)=0,"",OFFSET(Gemini抽出データ!$A$1,G22,1))</f>
        <v/>
      </c>
      <c r="I24" s="26"/>
      <c r="J24" s="30" t="str">
        <f>"学年"&amp;J$1</f>
        <v>学年4</v>
      </c>
      <c r="K24" s="25" t="str">
        <f ca="1">IF(OFFSET(Gemini抽出データ!$A$1,J22,1)=0,"",OFFSET(Gemini抽出データ!$A$1,J22,1))</f>
        <v/>
      </c>
      <c r="L24" s="27"/>
      <c r="M24" s="10" t="str">
        <f>"種類"&amp;M$1</f>
        <v>種類29</v>
      </c>
      <c r="N24" s="25" t="str">
        <f ca="1">IF(OFFSET(Gemini抽出データ!$A$1,M22,1)=0,"",OFFSET(Gemini抽出データ!$A$1,M22,1))</f>
        <v/>
      </c>
      <c r="O24" s="27"/>
      <c r="P24" s="30" t="str">
        <f>"学年"&amp;P$1</f>
        <v>学年30</v>
      </c>
      <c r="Q24" s="25" t="str">
        <f ca="1">IF(OFFSET(Gemini抽出データ!$A$1,P22,1)=0,"",OFFSET(Gemini抽出データ!$A$1,P22,1))</f>
        <v/>
      </c>
      <c r="R24" s="27"/>
      <c r="S24" s="31" t="str">
        <f>"学年"&amp;S$1</f>
        <v>学年31</v>
      </c>
      <c r="T24" s="25" t="str">
        <f ca="1">IF(OFFSET(Gemini抽出データ!$A$1,S22,1)=0,"",OFFSET(Gemini抽出データ!$A$1,S22,1))</f>
        <v/>
      </c>
      <c r="U24" s="26"/>
      <c r="V24" s="30" t="str">
        <f>"学年"&amp;V$1</f>
        <v>学年32</v>
      </c>
      <c r="W24" s="25" t="str">
        <f ca="1">IF(OFFSET(Gemini抽出データ!$A$1,V22,1)=0,"",OFFSET(Gemini抽出データ!$A$1,V22,1))</f>
        <v/>
      </c>
      <c r="X24" s="27"/>
      <c r="Y24" s="10" t="str">
        <f>"種類"&amp;Y$1</f>
        <v>種類57</v>
      </c>
      <c r="Z24" s="25" t="str">
        <f ca="1">IF(OFFSET(Gemini抽出データ!$A$1,Y22,1)=0,"",OFFSET(Gemini抽出データ!$A$1,Y22,1))</f>
        <v/>
      </c>
      <c r="AA24" s="27"/>
      <c r="AB24" s="30" t="str">
        <f>"学年"&amp;AB$1</f>
        <v>学年58</v>
      </c>
      <c r="AC24" s="25" t="str">
        <f ca="1">IF(OFFSET(Gemini抽出データ!$A$1,AB22,1)=0,"",OFFSET(Gemini抽出データ!$A$1,AB22,1))</f>
        <v/>
      </c>
      <c r="AD24" s="27"/>
      <c r="AE24" s="31" t="str">
        <f>"学年"&amp;AE$1</f>
        <v>学年59</v>
      </c>
      <c r="AF24" s="25" t="str">
        <f ca="1">IF(OFFSET(Gemini抽出データ!$A$1,AE22,1)=0,"",OFFSET(Gemini抽出データ!$A$1,AE22,1))</f>
        <v/>
      </c>
      <c r="AG24" s="26"/>
      <c r="AH24" s="30" t="str">
        <f>"学年"&amp;AH$1</f>
        <v>学年60</v>
      </c>
      <c r="AI24" s="25" t="str">
        <f ca="1">IF(OFFSET(Gemini抽出データ!$A$1,AH22,1)=0,"",OFFSET(Gemini抽出データ!$A$1,AH22,1))</f>
        <v/>
      </c>
      <c r="AJ24" s="27"/>
      <c r="AK24" s="10" t="str">
        <f>"種類"&amp;AK$1</f>
        <v>種類85</v>
      </c>
      <c r="AL24" s="25" t="str">
        <f ca="1">IF(OFFSET(Gemini抽出データ!$A$1,AK22,1)=0,"",OFFSET(Gemini抽出データ!$A$1,AK22,1))</f>
        <v/>
      </c>
      <c r="AM24" s="27"/>
      <c r="AN24" s="30" t="str">
        <f>"学年"&amp;AN$1</f>
        <v>学年86</v>
      </c>
      <c r="AO24" s="25" t="str">
        <f ca="1">IF(OFFSET(Gemini抽出データ!$A$1,AN22,1)=0,"",OFFSET(Gemini抽出データ!$A$1,AN22,1))</f>
        <v/>
      </c>
      <c r="AP24" s="27"/>
      <c r="AQ24" s="31" t="str">
        <f>"学年"&amp;AQ$1</f>
        <v>学年87</v>
      </c>
      <c r="AR24" s="25" t="str">
        <f ca="1">IF(OFFSET(Gemini抽出データ!$A$1,AQ22,1)=0,"",OFFSET(Gemini抽出データ!$A$1,AQ22,1))</f>
        <v/>
      </c>
      <c r="AS24" s="26"/>
      <c r="AT24" s="30" t="str">
        <f>"学年"&amp;AT$1</f>
        <v>学年88</v>
      </c>
      <c r="AU24" s="25" t="str">
        <f ca="1">IF(OFFSET(Gemini抽出データ!$A$1,AT22,1)=0,"",OFFSET(Gemini抽出データ!$A$1,AT22,1))</f>
        <v/>
      </c>
      <c r="AV24" s="27"/>
      <c r="AW24" s="10" t="str">
        <f>"種類"&amp;AW$1</f>
        <v>種類113</v>
      </c>
      <c r="AX24" s="25" t="str">
        <f ca="1">IF(OFFSET(Gemini抽出データ!$A$1,AW22,1)=0,"",OFFSET(Gemini抽出データ!$A$1,AW22,1))</f>
        <v/>
      </c>
      <c r="AY24" s="27"/>
      <c r="AZ24" s="30" t="str">
        <f>"学年"&amp;AZ$1</f>
        <v>学年114</v>
      </c>
      <c r="BA24" s="25" t="str">
        <f ca="1">IF(OFFSET(Gemini抽出データ!$A$1,AZ22,1)=0,"",OFFSET(Gemini抽出データ!$A$1,AZ22,1))</f>
        <v/>
      </c>
      <c r="BB24" s="27"/>
      <c r="BC24" s="31" t="str">
        <f>"学年"&amp;BC$1</f>
        <v>学年115</v>
      </c>
      <c r="BD24" s="25" t="str">
        <f ca="1">IF(OFFSET(Gemini抽出データ!$A$1,BC22,1)=0,"",OFFSET(Gemini抽出データ!$A$1,BC22,1))</f>
        <v/>
      </c>
      <c r="BE24" s="26"/>
      <c r="BF24" s="30" t="str">
        <f>"学年"&amp;BF$1</f>
        <v>学年116</v>
      </c>
      <c r="BG24" s="25" t="str">
        <f ca="1">IF(OFFSET(Gemini抽出データ!$A$1,BF22,1)=0,"",OFFSET(Gemini抽出データ!$A$1,BF22,1))</f>
        <v/>
      </c>
      <c r="BH24" s="27"/>
      <c r="BI24" s="10" t="str">
        <f>"種類"&amp;BI$1</f>
        <v>種類141</v>
      </c>
      <c r="BJ24" s="25" t="str">
        <f ca="1">IF(OFFSET(Gemini抽出データ!$A$1,BI22,1)=0,"",OFFSET(Gemini抽出データ!$A$1,BI22,1))</f>
        <v/>
      </c>
      <c r="BK24" s="27"/>
      <c r="BL24" s="30" t="str">
        <f>"学年"&amp;BL$1</f>
        <v>学年142</v>
      </c>
      <c r="BM24" s="25" t="str">
        <f ca="1">IF(OFFSET(Gemini抽出データ!$A$1,BL22,1)=0,"",OFFSET(Gemini抽出データ!$A$1,BL22,1))</f>
        <v/>
      </c>
      <c r="BN24" s="27"/>
      <c r="BO24" s="31" t="str">
        <f>"学年"&amp;BO$1</f>
        <v>学年143</v>
      </c>
      <c r="BP24" s="25" t="str">
        <f ca="1">IF(OFFSET(Gemini抽出データ!$A$1,BO22,1)=0,"",OFFSET(Gemini抽出データ!$A$1,BO22,1))</f>
        <v/>
      </c>
      <c r="BQ24" s="26"/>
      <c r="BR24" s="30" t="str">
        <f>"学年"&amp;BR$1</f>
        <v>学年144</v>
      </c>
      <c r="BS24" s="25" t="str">
        <f ca="1">IF(OFFSET(Gemini抽出データ!$A$1,BR22,1)=0,"",OFFSET(Gemini抽出データ!$A$1,BR22,1))</f>
        <v/>
      </c>
      <c r="BT24" s="27"/>
      <c r="BU24" s="10" t="str">
        <f>"種類"&amp;BU$1</f>
        <v>種類169</v>
      </c>
      <c r="BV24" s="25" t="str">
        <f ca="1">IF(OFFSET(Gemini抽出データ!$A$1,BU22,1)=0,"",OFFSET(Gemini抽出データ!$A$1,BU22,1))</f>
        <v/>
      </c>
      <c r="BW24" s="27"/>
      <c r="BX24" s="30" t="str">
        <f>"学年"&amp;BX$1</f>
        <v>学年170</v>
      </c>
      <c r="BY24" s="25" t="str">
        <f ca="1">IF(OFFSET(Gemini抽出データ!$A$1,BX22,1)=0,"",OFFSET(Gemini抽出データ!$A$1,BX22,1))</f>
        <v/>
      </c>
      <c r="BZ24" s="27"/>
      <c r="CA24" s="31" t="str">
        <f>"学年"&amp;CA$1</f>
        <v>学年171</v>
      </c>
      <c r="CB24" s="25" t="str">
        <f ca="1">IF(OFFSET(Gemini抽出データ!$A$1,CA22,1)=0,"",OFFSET(Gemini抽出データ!$A$1,CA22,1))</f>
        <v/>
      </c>
      <c r="CC24" s="26"/>
      <c r="CD24" s="30" t="str">
        <f>"学年"&amp;CD$1</f>
        <v>学年172</v>
      </c>
      <c r="CE24" s="25" t="str">
        <f ca="1">IF(OFFSET(Gemini抽出データ!$A$1,CD22,1)=0,"",OFFSET(Gemini抽出データ!$A$1,CD22,1))</f>
        <v/>
      </c>
      <c r="CF24" s="27"/>
      <c r="CG24" s="10" t="str">
        <f>"種類"&amp;CG$1</f>
        <v>種類197</v>
      </c>
      <c r="CH24" s="25" t="str">
        <f ca="1">IF(OFFSET(Gemini抽出データ!$A$1,CG22,1)=0,"",OFFSET(Gemini抽出データ!$A$1,CG22,1))</f>
        <v/>
      </c>
      <c r="CI24" s="27"/>
      <c r="CJ24" s="30" t="str">
        <f>"学年"&amp;CJ$1</f>
        <v>学年198</v>
      </c>
      <c r="CK24" s="25" t="str">
        <f ca="1">IF(OFFSET(Gemini抽出データ!$A$1,CJ22,1)=0,"",OFFSET(Gemini抽出データ!$A$1,CJ22,1))</f>
        <v/>
      </c>
      <c r="CL24" s="27"/>
      <c r="CM24" s="31" t="str">
        <f>"学年"&amp;CM$1</f>
        <v>学年199</v>
      </c>
      <c r="CN24" s="25" t="str">
        <f ca="1">IF(OFFSET(Gemini抽出データ!$A$1,CM22,1)=0,"",OFFSET(Gemini抽出データ!$A$1,CM22,1))</f>
        <v/>
      </c>
      <c r="CO24" s="26"/>
      <c r="CP24" s="30" t="str">
        <f>"学年"&amp;CP$1</f>
        <v>学年200</v>
      </c>
      <c r="CQ24" s="25" t="str">
        <f ca="1">IF(OFFSET(Gemini抽出データ!$A$1,CP22,1)=0,"",OFFSET(Gemini抽出データ!$A$1,CP22,1))</f>
        <v/>
      </c>
      <c r="CR24" s="27"/>
      <c r="CS24" s="10" t="str">
        <f>"種類"&amp;CS$1</f>
        <v>種類225</v>
      </c>
      <c r="CT24" s="25" t="str">
        <f ca="1">IF(OFFSET(Gemini抽出データ!$A$1,CS22,1)=0,"",OFFSET(Gemini抽出データ!$A$1,CS22,1))</f>
        <v/>
      </c>
      <c r="CU24" s="27"/>
      <c r="CV24" s="30" t="str">
        <f>"学年"&amp;CV$1</f>
        <v>学年226</v>
      </c>
      <c r="CW24" s="25" t="str">
        <f ca="1">IF(OFFSET(Gemini抽出データ!$A$1,CV22,1)=0,"",OFFSET(Gemini抽出データ!$A$1,CV22,1))</f>
        <v/>
      </c>
      <c r="CX24" s="27"/>
      <c r="CY24" s="31" t="str">
        <f>"学年"&amp;CY$1</f>
        <v>学年227</v>
      </c>
      <c r="CZ24" s="25" t="str">
        <f ca="1">IF(OFFSET(Gemini抽出データ!$A$1,CY22,1)=0,"",OFFSET(Gemini抽出データ!$A$1,CY22,1))</f>
        <v/>
      </c>
      <c r="DA24" s="26"/>
      <c r="DB24" s="30" t="str">
        <f>"学年"&amp;DB$1</f>
        <v>学年228</v>
      </c>
      <c r="DC24" s="25" t="str">
        <f ca="1">IF(OFFSET(Gemini抽出データ!$A$1,DB22,1)=0,"",OFFSET(Gemini抽出データ!$A$1,DB22,1))</f>
        <v/>
      </c>
      <c r="DD24" s="27"/>
      <c r="DE24" s="10" t="str">
        <f>"種類"&amp;DE$1</f>
        <v>種類253</v>
      </c>
      <c r="DF24" s="25" t="str">
        <f ca="1">IF(OFFSET(Gemini抽出データ!$A$1,DE22,1)=0,"",OFFSET(Gemini抽出データ!$A$1,DE22,1))</f>
        <v/>
      </c>
      <c r="DG24" s="27"/>
      <c r="DH24" s="30" t="str">
        <f>"学年"&amp;DH$1</f>
        <v>学年254</v>
      </c>
      <c r="DI24" s="25" t="str">
        <f ca="1">IF(OFFSET(Gemini抽出データ!$A$1,DH22,1)=0,"",OFFSET(Gemini抽出データ!$A$1,DH22,1))</f>
        <v/>
      </c>
      <c r="DJ24" s="27"/>
      <c r="DK24" s="31" t="str">
        <f>"学年"&amp;DK$1</f>
        <v>学年255</v>
      </c>
      <c r="DL24" s="25" t="str">
        <f ca="1">IF(OFFSET(Gemini抽出データ!$A$1,DK22,1)=0,"",OFFSET(Gemini抽出データ!$A$1,DK22,1))</f>
        <v/>
      </c>
      <c r="DM24" s="26"/>
      <c r="DN24" s="30" t="str">
        <f>"学年"&amp;DN$1</f>
        <v>学年256</v>
      </c>
      <c r="DO24" s="25" t="str">
        <f ca="1">IF(OFFSET(Gemini抽出データ!$A$1,DN22,1)=0,"",OFFSET(Gemini抽出データ!$A$1,DN22,1))</f>
        <v/>
      </c>
      <c r="DP24" s="27"/>
      <c r="DQ24" s="10" t="str">
        <f>"種類"&amp;DQ$1</f>
        <v>種類281</v>
      </c>
      <c r="DR24" s="25" t="str">
        <f ca="1">IF(OFFSET(Gemini抽出データ!$A$1,DQ22,1)=0,"",OFFSET(Gemini抽出データ!$A$1,DQ22,1))</f>
        <v/>
      </c>
      <c r="DS24" s="27"/>
      <c r="DT24" s="30" t="str">
        <f>"学年"&amp;DT$1</f>
        <v>学年282</v>
      </c>
      <c r="DU24" s="25" t="str">
        <f ca="1">IF(OFFSET(Gemini抽出データ!$A$1,DT22,1)=0,"",OFFSET(Gemini抽出データ!$A$1,DT22,1))</f>
        <v/>
      </c>
      <c r="DV24" s="27"/>
      <c r="DW24" s="31" t="str">
        <f>"学年"&amp;DW$1</f>
        <v>学年283</v>
      </c>
      <c r="DX24" s="25" t="str">
        <f ca="1">IF(OFFSET(Gemini抽出データ!$A$1,DW22,1)=0,"",OFFSET(Gemini抽出データ!$A$1,DW22,1))</f>
        <v/>
      </c>
      <c r="DY24" s="26"/>
      <c r="DZ24" s="30" t="str">
        <f>"学年"&amp;DZ$1</f>
        <v>学年284</v>
      </c>
      <c r="EA24" s="25" t="str">
        <f ca="1">IF(OFFSET(Gemini抽出データ!$A$1,DZ22,1)=0,"",OFFSET(Gemini抽出データ!$A$1,DZ22,1))</f>
        <v/>
      </c>
      <c r="EB24" s="27"/>
      <c r="EC24" s="10" t="str">
        <f>"種類"&amp;EC$1</f>
        <v>種類309</v>
      </c>
      <c r="ED24" s="25" t="str">
        <f ca="1">IF(OFFSET(Gemini抽出データ!$A$1,EC22,1)=0,"",OFFSET(Gemini抽出データ!$A$1,EC22,1))</f>
        <v/>
      </c>
      <c r="EE24" s="27"/>
      <c r="EF24" s="30" t="str">
        <f>"学年"&amp;EF$1</f>
        <v>学年310</v>
      </c>
      <c r="EG24" s="25" t="str">
        <f ca="1">IF(OFFSET(Gemini抽出データ!$A$1,EF22,1)=0,"",OFFSET(Gemini抽出データ!$A$1,EF22,1))</f>
        <v/>
      </c>
      <c r="EH24" s="27"/>
      <c r="EI24" s="31" t="str">
        <f>"学年"&amp;EI$1</f>
        <v>学年311</v>
      </c>
      <c r="EJ24" s="25" t="str">
        <f ca="1">IF(OFFSET(Gemini抽出データ!$A$1,EI22,1)=0,"",OFFSET(Gemini抽出データ!$A$1,EI22,1))</f>
        <v/>
      </c>
      <c r="EK24" s="26"/>
      <c r="EL24" s="30" t="str">
        <f>"学年"&amp;EL$1</f>
        <v>学年312</v>
      </c>
      <c r="EM24" s="25" t="str">
        <f ca="1">IF(OFFSET(Gemini抽出データ!$A$1,EL22,1)=0,"",OFFSET(Gemini抽出データ!$A$1,EL22,1))</f>
        <v/>
      </c>
      <c r="EN24" s="27"/>
      <c r="EO24" s="10" t="str">
        <f>"種類"&amp;EO$1</f>
        <v>種類337</v>
      </c>
      <c r="EP24" s="25" t="str">
        <f ca="1">IF(OFFSET(Gemini抽出データ!$A$1,EO22,1)=0,"",OFFSET(Gemini抽出データ!$A$1,EO22,1))</f>
        <v/>
      </c>
      <c r="EQ24" s="27"/>
      <c r="ER24" s="30" t="str">
        <f>"学年"&amp;ER$1</f>
        <v>学年338</v>
      </c>
      <c r="ES24" s="25" t="str">
        <f ca="1">IF(OFFSET(Gemini抽出データ!$A$1,ER22,1)=0,"",OFFSET(Gemini抽出データ!$A$1,ER22,1))</f>
        <v/>
      </c>
      <c r="ET24" s="27"/>
      <c r="EU24" s="31" t="str">
        <f>"学年"&amp;EU$1</f>
        <v>学年339</v>
      </c>
      <c r="EV24" s="25" t="str">
        <f ca="1">IF(OFFSET(Gemini抽出データ!$A$1,EU22,1)=0,"",OFFSET(Gemini抽出データ!$A$1,EU22,1))</f>
        <v/>
      </c>
      <c r="EW24" s="26"/>
      <c r="EX24" s="30" t="str">
        <f>"学年"&amp;EX$1</f>
        <v>学年340</v>
      </c>
      <c r="EY24" s="25" t="str">
        <f ca="1">IF(OFFSET(Gemini抽出データ!$A$1,EX22,1)=0,"",OFFSET(Gemini抽出データ!$A$1,EX22,1))</f>
        <v/>
      </c>
      <c r="EZ24" s="27"/>
      <c r="FA24" s="10" t="str">
        <f>"種類"&amp;FA$1</f>
        <v>種類365</v>
      </c>
      <c r="FB24" s="25" t="str">
        <f ca="1">IF(OFFSET(Gemini抽出データ!$A$1,FA22,1)=0,"",OFFSET(Gemini抽出データ!$A$1,FA22,1))</f>
        <v/>
      </c>
      <c r="FC24" s="27"/>
      <c r="FD24" s="30" t="str">
        <f>"学年"&amp;FD$1</f>
        <v>学年366</v>
      </c>
      <c r="FE24" s="25" t="str">
        <f ca="1">IF(OFFSET(Gemini抽出データ!$A$1,FD22,1)=0,"",OFFSET(Gemini抽出データ!$A$1,FD22,1))</f>
        <v/>
      </c>
      <c r="FF24" s="27"/>
      <c r="FG24" s="31" t="str">
        <f>"学年"&amp;FG$1</f>
        <v>学年367</v>
      </c>
      <c r="FH24" s="25" t="str">
        <f ca="1">IF(OFFSET(Gemini抽出データ!$A$1,FG22,1)=0,"",OFFSET(Gemini抽出データ!$A$1,FG22,1))</f>
        <v/>
      </c>
      <c r="FI24" s="26"/>
      <c r="FJ24" s="30" t="str">
        <f>"学年"&amp;FJ$1</f>
        <v>学年368</v>
      </c>
      <c r="FK24" s="25" t="str">
        <f ca="1">IF(OFFSET(Gemini抽出データ!$A$1,FJ22,1)=0,"",OFFSET(Gemini抽出データ!$A$1,FJ22,1))</f>
        <v/>
      </c>
      <c r="FL24" s="27"/>
      <c r="FM24" s="10" t="str">
        <f>"種類"&amp;FM$1</f>
        <v>種類393</v>
      </c>
      <c r="FN24" s="25" t="str">
        <f ca="1">IF(OFFSET(Gemini抽出データ!$A$1,FM22,1)=0,"",OFFSET(Gemini抽出データ!$A$1,FM22,1))</f>
        <v/>
      </c>
      <c r="FO24" s="27"/>
      <c r="FP24" s="30" t="str">
        <f>"学年"&amp;FP$1</f>
        <v>学年394</v>
      </c>
      <c r="FQ24" s="25" t="str">
        <f ca="1">IF(OFFSET(Gemini抽出データ!$A$1,FP22,1)=0,"",OFFSET(Gemini抽出データ!$A$1,FP22,1))</f>
        <v/>
      </c>
      <c r="FR24" s="27"/>
      <c r="FS24" s="31" t="str">
        <f>"学年"&amp;FS$1</f>
        <v>学年395</v>
      </c>
      <c r="FT24" s="25" t="str">
        <f ca="1">IF(OFFSET(Gemini抽出データ!$A$1,FS22,1)=0,"",OFFSET(Gemini抽出データ!$A$1,FS22,1))</f>
        <v/>
      </c>
      <c r="FU24" s="26"/>
      <c r="FV24" s="30" t="str">
        <f>"学年"&amp;FV$1</f>
        <v>学年396</v>
      </c>
      <c r="FW24" s="25" t="str">
        <f ca="1">IF(OFFSET(Gemini抽出データ!$A$1,FV22,1)=0,"",OFFSET(Gemini抽出データ!$A$1,FV22,1))</f>
        <v/>
      </c>
      <c r="FX24" s="27"/>
      <c r="FY24" s="10" t="str">
        <f>"種類"&amp;FY$1</f>
        <v>種類421</v>
      </c>
      <c r="FZ24" s="25" t="str">
        <f ca="1">IF(OFFSET(Gemini抽出データ!$A$1,FY22,1)=0,"",OFFSET(Gemini抽出データ!$A$1,FY22,1))</f>
        <v/>
      </c>
      <c r="GA24" s="27"/>
      <c r="GB24" s="30" t="str">
        <f>"学年"&amp;GB$1</f>
        <v>学年422</v>
      </c>
      <c r="GC24" s="25" t="str">
        <f ca="1">IF(OFFSET(Gemini抽出データ!$A$1,GB22,1)=0,"",OFFSET(Gemini抽出データ!$A$1,GB22,1))</f>
        <v/>
      </c>
      <c r="GD24" s="27"/>
      <c r="GE24" s="31" t="str">
        <f>"学年"&amp;GE$1</f>
        <v>学年423</v>
      </c>
      <c r="GF24" s="25" t="str">
        <f ca="1">IF(OFFSET(Gemini抽出データ!$A$1,GE22,1)=0,"",OFFSET(Gemini抽出データ!$A$1,GE22,1))</f>
        <v/>
      </c>
      <c r="GG24" s="26"/>
      <c r="GH24" s="30" t="str">
        <f>"学年"&amp;GH$1</f>
        <v>学年424</v>
      </c>
      <c r="GI24" s="25" t="str">
        <f ca="1">IF(OFFSET(Gemini抽出データ!$A$1,GH22,1)=0,"",OFFSET(Gemini抽出データ!$A$1,GH22,1))</f>
        <v/>
      </c>
      <c r="GJ24" s="27"/>
      <c r="GK24" s="10" t="str">
        <f>"種類"&amp;GK$1</f>
        <v>種類449</v>
      </c>
      <c r="GL24" s="25" t="str">
        <f ca="1">IF(OFFSET(Gemini抽出データ!$A$1,GK22,1)=0,"",OFFSET(Gemini抽出データ!$A$1,GK22,1))</f>
        <v/>
      </c>
      <c r="GM24" s="27"/>
      <c r="GN24" s="30" t="str">
        <f>"学年"&amp;GN$1</f>
        <v>学年450</v>
      </c>
      <c r="GO24" s="25" t="str">
        <f ca="1">IF(OFFSET(Gemini抽出データ!$A$1,GN22,1)=0,"",OFFSET(Gemini抽出データ!$A$1,GN22,1))</f>
        <v/>
      </c>
      <c r="GP24" s="27"/>
      <c r="GQ24" s="31" t="str">
        <f>"学年"&amp;GQ$1</f>
        <v>学年451</v>
      </c>
      <c r="GR24" s="25" t="str">
        <f ca="1">IF(OFFSET(Gemini抽出データ!$A$1,GQ22,1)=0,"",OFFSET(Gemini抽出データ!$A$1,GQ22,1))</f>
        <v/>
      </c>
      <c r="GS24" s="26"/>
      <c r="GT24" s="30" t="str">
        <f>"学年"&amp;GT$1</f>
        <v>学年452</v>
      </c>
      <c r="GU24" s="25" t="str">
        <f ca="1">IF(OFFSET(Gemini抽出データ!$A$1,GT22,1)=0,"",OFFSET(Gemini抽出データ!$A$1,GT22,1))</f>
        <v/>
      </c>
      <c r="GV24" s="27"/>
      <c r="GW24" s="10" t="str">
        <f>"種類"&amp;GW$1</f>
        <v>種類477</v>
      </c>
      <c r="GX24" s="25" t="str">
        <f ca="1">IF(OFFSET(Gemini抽出データ!$A$1,GW22,1)=0,"",OFFSET(Gemini抽出データ!$A$1,GW22,1))</f>
        <v/>
      </c>
      <c r="GY24" s="27"/>
      <c r="GZ24" s="30" t="str">
        <f>"学年"&amp;GZ$1</f>
        <v>学年478</v>
      </c>
      <c r="HA24" s="25" t="str">
        <f ca="1">IF(OFFSET(Gemini抽出データ!$A$1,GZ22,1)=0,"",OFFSET(Gemini抽出データ!$A$1,GZ22,1))</f>
        <v/>
      </c>
      <c r="HB24" s="27"/>
      <c r="HC24" s="31" t="str">
        <f>"学年"&amp;HC$1</f>
        <v>学年479</v>
      </c>
      <c r="HD24" s="25" t="str">
        <f ca="1">IF(OFFSET(Gemini抽出データ!$A$1,HC22,1)=0,"",OFFSET(Gemini抽出データ!$A$1,HC22,1))</f>
        <v/>
      </c>
      <c r="HE24" s="26"/>
      <c r="HF24" s="30" t="str">
        <f>"学年"&amp;HF$1</f>
        <v>学年480</v>
      </c>
      <c r="HG24" s="25" t="str">
        <f ca="1">IF(OFFSET(Gemini抽出データ!$A$1,HF22,1)=0,"",OFFSET(Gemini抽出データ!$A$1,HF22,1))</f>
        <v/>
      </c>
      <c r="HH24" s="27"/>
      <c r="HI24" s="10" t="str">
        <f>"種類"&amp;HI$1</f>
        <v>種類505</v>
      </c>
      <c r="HJ24" s="25" t="str">
        <f ca="1">IF(OFFSET(Gemini抽出データ!$A$1,HI22,1)=0,"",OFFSET(Gemini抽出データ!$A$1,HI22,1))</f>
        <v/>
      </c>
      <c r="HK24" s="27"/>
      <c r="HL24" s="30" t="str">
        <f>"学年"&amp;HL$1</f>
        <v>学年506</v>
      </c>
      <c r="HM24" s="25" t="str">
        <f ca="1">IF(OFFSET(Gemini抽出データ!$A$1,HL22,1)=0,"",OFFSET(Gemini抽出データ!$A$1,HL22,1))</f>
        <v/>
      </c>
      <c r="HN24" s="27"/>
      <c r="HO24" s="31" t="str">
        <f>"学年"&amp;HO$1</f>
        <v>学年507</v>
      </c>
      <c r="HP24" s="25" t="str">
        <f ca="1">IF(OFFSET(Gemini抽出データ!$A$1,HO22,1)=0,"",OFFSET(Gemini抽出データ!$A$1,HO22,1))</f>
        <v/>
      </c>
      <c r="HQ24" s="26"/>
      <c r="HR24" s="30" t="str">
        <f>"学年"&amp;HR$1</f>
        <v>学年508</v>
      </c>
      <c r="HS24" s="25" t="str">
        <f ca="1">IF(OFFSET(Gemini抽出データ!$A$1,HR22,1)=0,"",OFFSET(Gemini抽出データ!$A$1,HR22,1))</f>
        <v/>
      </c>
      <c r="HT24" s="27"/>
      <c r="HU24" s="2" t="e">
        <f ca="1">IF(OFFSET(Gemini抽出データ!$A$1,#REF!,1)=0,"",OFFSET(Gemini抽出データ!$A$1,#REF!,1))</f>
        <v>#REF!</v>
      </c>
      <c r="HV24" s="3"/>
    </row>
    <row r="25" spans="1:230" ht="17.100000000000001" customHeight="1" x14ac:dyDescent="0.45">
      <c r="A25" s="10" t="str">
        <f>"学年"&amp;A$1</f>
        <v>学年1</v>
      </c>
      <c r="B25" s="26"/>
      <c r="C25" s="27"/>
      <c r="D25" s="30"/>
      <c r="E25" s="26"/>
      <c r="F25" s="27"/>
      <c r="G25" s="31"/>
      <c r="H25" s="26"/>
      <c r="I25" s="26"/>
      <c r="J25" s="30"/>
      <c r="K25" s="26"/>
      <c r="L25" s="27"/>
      <c r="M25" s="10" t="str">
        <f>"学年"&amp;M$1</f>
        <v>学年29</v>
      </c>
      <c r="N25" s="26"/>
      <c r="O25" s="27"/>
      <c r="P25" s="30"/>
      <c r="Q25" s="26"/>
      <c r="R25" s="27"/>
      <c r="S25" s="31"/>
      <c r="T25" s="26"/>
      <c r="U25" s="26"/>
      <c r="V25" s="30"/>
      <c r="W25" s="26"/>
      <c r="X25" s="27"/>
      <c r="Y25" s="10" t="str">
        <f>"学年"&amp;Y$1</f>
        <v>学年57</v>
      </c>
      <c r="Z25" s="26"/>
      <c r="AA25" s="27"/>
      <c r="AB25" s="30"/>
      <c r="AC25" s="26"/>
      <c r="AD25" s="27"/>
      <c r="AE25" s="31"/>
      <c r="AF25" s="26"/>
      <c r="AG25" s="26"/>
      <c r="AH25" s="30"/>
      <c r="AI25" s="26"/>
      <c r="AJ25" s="27"/>
      <c r="AK25" s="10" t="str">
        <f>"学年"&amp;AK$1</f>
        <v>学年85</v>
      </c>
      <c r="AL25" s="26"/>
      <c r="AM25" s="27"/>
      <c r="AN25" s="30"/>
      <c r="AO25" s="26"/>
      <c r="AP25" s="27"/>
      <c r="AQ25" s="31"/>
      <c r="AR25" s="26"/>
      <c r="AS25" s="26"/>
      <c r="AT25" s="30"/>
      <c r="AU25" s="26"/>
      <c r="AV25" s="27"/>
      <c r="AW25" s="10" t="str">
        <f>"学年"&amp;AW$1</f>
        <v>学年113</v>
      </c>
      <c r="AX25" s="26"/>
      <c r="AY25" s="27"/>
      <c r="AZ25" s="30"/>
      <c r="BA25" s="26"/>
      <c r="BB25" s="27"/>
      <c r="BC25" s="31"/>
      <c r="BD25" s="26"/>
      <c r="BE25" s="26"/>
      <c r="BF25" s="30"/>
      <c r="BG25" s="26"/>
      <c r="BH25" s="27"/>
      <c r="BI25" s="10" t="str">
        <f>"学年"&amp;BI$1</f>
        <v>学年141</v>
      </c>
      <c r="BJ25" s="26"/>
      <c r="BK25" s="27"/>
      <c r="BL25" s="30"/>
      <c r="BM25" s="26"/>
      <c r="BN25" s="27"/>
      <c r="BO25" s="31"/>
      <c r="BP25" s="26"/>
      <c r="BQ25" s="26"/>
      <c r="BR25" s="30"/>
      <c r="BS25" s="26"/>
      <c r="BT25" s="27"/>
      <c r="BU25" s="10" t="str">
        <f>"学年"&amp;BU$1</f>
        <v>学年169</v>
      </c>
      <c r="BV25" s="26"/>
      <c r="BW25" s="27"/>
      <c r="BX25" s="30"/>
      <c r="BY25" s="26"/>
      <c r="BZ25" s="27"/>
      <c r="CA25" s="31"/>
      <c r="CB25" s="26"/>
      <c r="CC25" s="26"/>
      <c r="CD25" s="30"/>
      <c r="CE25" s="26"/>
      <c r="CF25" s="27"/>
      <c r="CG25" s="10" t="str">
        <f>"学年"&amp;CG$1</f>
        <v>学年197</v>
      </c>
      <c r="CH25" s="26"/>
      <c r="CI25" s="27"/>
      <c r="CJ25" s="30"/>
      <c r="CK25" s="26"/>
      <c r="CL25" s="27"/>
      <c r="CM25" s="31"/>
      <c r="CN25" s="26"/>
      <c r="CO25" s="26"/>
      <c r="CP25" s="30"/>
      <c r="CQ25" s="26"/>
      <c r="CR25" s="27"/>
      <c r="CS25" s="10" t="str">
        <f>"学年"&amp;CS$1</f>
        <v>学年225</v>
      </c>
      <c r="CT25" s="26"/>
      <c r="CU25" s="27"/>
      <c r="CV25" s="30"/>
      <c r="CW25" s="26"/>
      <c r="CX25" s="27"/>
      <c r="CY25" s="31"/>
      <c r="CZ25" s="26"/>
      <c r="DA25" s="26"/>
      <c r="DB25" s="30"/>
      <c r="DC25" s="26"/>
      <c r="DD25" s="27"/>
      <c r="DE25" s="10" t="str">
        <f>"学年"&amp;DE$1</f>
        <v>学年253</v>
      </c>
      <c r="DF25" s="26"/>
      <c r="DG25" s="27"/>
      <c r="DH25" s="30"/>
      <c r="DI25" s="26"/>
      <c r="DJ25" s="27"/>
      <c r="DK25" s="31"/>
      <c r="DL25" s="26"/>
      <c r="DM25" s="26"/>
      <c r="DN25" s="30"/>
      <c r="DO25" s="26"/>
      <c r="DP25" s="27"/>
      <c r="DQ25" s="10" t="str">
        <f>"学年"&amp;DQ$1</f>
        <v>学年281</v>
      </c>
      <c r="DR25" s="26"/>
      <c r="DS25" s="27"/>
      <c r="DT25" s="30"/>
      <c r="DU25" s="26"/>
      <c r="DV25" s="27"/>
      <c r="DW25" s="31"/>
      <c r="DX25" s="26"/>
      <c r="DY25" s="26"/>
      <c r="DZ25" s="30"/>
      <c r="EA25" s="26"/>
      <c r="EB25" s="27"/>
      <c r="EC25" s="10" t="str">
        <f>"学年"&amp;EC$1</f>
        <v>学年309</v>
      </c>
      <c r="ED25" s="26"/>
      <c r="EE25" s="27"/>
      <c r="EF25" s="30"/>
      <c r="EG25" s="26"/>
      <c r="EH25" s="27"/>
      <c r="EI25" s="31"/>
      <c r="EJ25" s="26"/>
      <c r="EK25" s="26"/>
      <c r="EL25" s="30"/>
      <c r="EM25" s="26"/>
      <c r="EN25" s="27"/>
      <c r="EO25" s="10" t="str">
        <f>"学年"&amp;EO$1</f>
        <v>学年337</v>
      </c>
      <c r="EP25" s="26"/>
      <c r="EQ25" s="27"/>
      <c r="ER25" s="30"/>
      <c r="ES25" s="26"/>
      <c r="ET25" s="27"/>
      <c r="EU25" s="31"/>
      <c r="EV25" s="26"/>
      <c r="EW25" s="26"/>
      <c r="EX25" s="30"/>
      <c r="EY25" s="26"/>
      <c r="EZ25" s="27"/>
      <c r="FA25" s="10" t="str">
        <f>"学年"&amp;FA$1</f>
        <v>学年365</v>
      </c>
      <c r="FB25" s="26"/>
      <c r="FC25" s="27"/>
      <c r="FD25" s="30"/>
      <c r="FE25" s="26"/>
      <c r="FF25" s="27"/>
      <c r="FG25" s="31"/>
      <c r="FH25" s="26"/>
      <c r="FI25" s="26"/>
      <c r="FJ25" s="30"/>
      <c r="FK25" s="26"/>
      <c r="FL25" s="27"/>
      <c r="FM25" s="10" t="str">
        <f>"学年"&amp;FM$1</f>
        <v>学年393</v>
      </c>
      <c r="FN25" s="26"/>
      <c r="FO25" s="27"/>
      <c r="FP25" s="30"/>
      <c r="FQ25" s="26"/>
      <c r="FR25" s="27"/>
      <c r="FS25" s="31"/>
      <c r="FT25" s="26"/>
      <c r="FU25" s="26"/>
      <c r="FV25" s="30"/>
      <c r="FW25" s="26"/>
      <c r="FX25" s="27"/>
      <c r="FY25" s="10" t="str">
        <f>"学年"&amp;FY$1</f>
        <v>学年421</v>
      </c>
      <c r="FZ25" s="26"/>
      <c r="GA25" s="27"/>
      <c r="GB25" s="30"/>
      <c r="GC25" s="26"/>
      <c r="GD25" s="27"/>
      <c r="GE25" s="31"/>
      <c r="GF25" s="26"/>
      <c r="GG25" s="26"/>
      <c r="GH25" s="30"/>
      <c r="GI25" s="26"/>
      <c r="GJ25" s="27"/>
      <c r="GK25" s="10" t="str">
        <f>"学年"&amp;GK$1</f>
        <v>学年449</v>
      </c>
      <c r="GL25" s="26"/>
      <c r="GM25" s="27"/>
      <c r="GN25" s="30"/>
      <c r="GO25" s="26"/>
      <c r="GP25" s="27"/>
      <c r="GQ25" s="31"/>
      <c r="GR25" s="26"/>
      <c r="GS25" s="26"/>
      <c r="GT25" s="30"/>
      <c r="GU25" s="26"/>
      <c r="GV25" s="27"/>
      <c r="GW25" s="10" t="str">
        <f>"学年"&amp;GW$1</f>
        <v>学年477</v>
      </c>
      <c r="GX25" s="26"/>
      <c r="GY25" s="27"/>
      <c r="GZ25" s="30"/>
      <c r="HA25" s="26"/>
      <c r="HB25" s="27"/>
      <c r="HC25" s="31"/>
      <c r="HD25" s="26"/>
      <c r="HE25" s="26"/>
      <c r="HF25" s="30"/>
      <c r="HG25" s="26"/>
      <c r="HH25" s="27"/>
      <c r="HI25" s="10" t="str">
        <f>"学年"&amp;HI$1</f>
        <v>学年505</v>
      </c>
      <c r="HJ25" s="26"/>
      <c r="HK25" s="27"/>
      <c r="HL25" s="30"/>
      <c r="HM25" s="26"/>
      <c r="HN25" s="27"/>
      <c r="HO25" s="31"/>
      <c r="HP25" s="26"/>
      <c r="HQ25" s="26"/>
      <c r="HR25" s="30"/>
      <c r="HS25" s="26"/>
      <c r="HT25" s="27"/>
      <c r="HU25" s="3"/>
      <c r="HV25" s="3"/>
    </row>
    <row r="26" spans="1:230" ht="17.100000000000001" customHeight="1" x14ac:dyDescent="0.45">
      <c r="A26" s="10"/>
      <c r="B26" s="22">
        <f ca="1">OFFSET(Gemini抽出データ!$A$1,A22,3)</f>
        <v>0</v>
      </c>
      <c r="C26" s="24"/>
      <c r="D26" s="28"/>
      <c r="E26" s="22">
        <f ca="1">OFFSET(Gemini抽出データ!$A$1,D22,3)</f>
        <v>0</v>
      </c>
      <c r="F26" s="24"/>
      <c r="G26" s="29"/>
      <c r="H26" s="22">
        <f ca="1">OFFSET(Gemini抽出データ!$A$1,G22,3)</f>
        <v>0</v>
      </c>
      <c r="I26" s="23"/>
      <c r="J26" s="28"/>
      <c r="K26" s="22">
        <f ca="1">OFFSET(Gemini抽出データ!$A$1,J22,3)</f>
        <v>0</v>
      </c>
      <c r="L26" s="24"/>
      <c r="M26" s="10"/>
      <c r="N26" s="22">
        <f ca="1">OFFSET(Gemini抽出データ!$A$1,M22,3)</f>
        <v>0</v>
      </c>
      <c r="O26" s="24"/>
      <c r="P26" s="28"/>
      <c r="Q26" s="22">
        <f ca="1">OFFSET(Gemini抽出データ!$A$1,P22,3)</f>
        <v>0</v>
      </c>
      <c r="R26" s="24"/>
      <c r="S26" s="29"/>
      <c r="T26" s="22">
        <f ca="1">OFFSET(Gemini抽出データ!$A$1,S22,3)</f>
        <v>0</v>
      </c>
      <c r="U26" s="23"/>
      <c r="V26" s="28"/>
      <c r="W26" s="22">
        <f ca="1">OFFSET(Gemini抽出データ!$A$1,V22,3)</f>
        <v>0</v>
      </c>
      <c r="X26" s="24"/>
      <c r="Y26" s="10"/>
      <c r="Z26" s="22">
        <f ca="1">OFFSET(Gemini抽出データ!$A$1,Y22,3)</f>
        <v>0</v>
      </c>
      <c r="AA26" s="24"/>
      <c r="AB26" s="28"/>
      <c r="AC26" s="22">
        <f ca="1">OFFSET(Gemini抽出データ!$A$1,AB22,3)</f>
        <v>0</v>
      </c>
      <c r="AD26" s="24"/>
      <c r="AE26" s="29"/>
      <c r="AF26" s="22">
        <f ca="1">OFFSET(Gemini抽出データ!$A$1,AE22,3)</f>
        <v>0</v>
      </c>
      <c r="AG26" s="23"/>
      <c r="AH26" s="28"/>
      <c r="AI26" s="22">
        <f ca="1">OFFSET(Gemini抽出データ!$A$1,AH22,3)</f>
        <v>0</v>
      </c>
      <c r="AJ26" s="24"/>
      <c r="AK26" s="10"/>
      <c r="AL26" s="22">
        <f ca="1">OFFSET(Gemini抽出データ!$A$1,AK22,3)</f>
        <v>0</v>
      </c>
      <c r="AM26" s="24"/>
      <c r="AN26" s="28"/>
      <c r="AO26" s="22">
        <f ca="1">OFFSET(Gemini抽出データ!$A$1,AN22,3)</f>
        <v>0</v>
      </c>
      <c r="AP26" s="24"/>
      <c r="AQ26" s="29"/>
      <c r="AR26" s="22">
        <f ca="1">OFFSET(Gemini抽出データ!$A$1,AQ22,3)</f>
        <v>0</v>
      </c>
      <c r="AS26" s="23"/>
      <c r="AT26" s="28"/>
      <c r="AU26" s="22">
        <f ca="1">OFFSET(Gemini抽出データ!$A$1,AT22,3)</f>
        <v>0</v>
      </c>
      <c r="AV26" s="24"/>
      <c r="AW26" s="10"/>
      <c r="AX26" s="22">
        <f ca="1">OFFSET(Gemini抽出データ!$A$1,AW22,3)</f>
        <v>0</v>
      </c>
      <c r="AY26" s="24"/>
      <c r="AZ26" s="28"/>
      <c r="BA26" s="22">
        <f ca="1">OFFSET(Gemini抽出データ!$A$1,AZ22,3)</f>
        <v>0</v>
      </c>
      <c r="BB26" s="24"/>
      <c r="BC26" s="29"/>
      <c r="BD26" s="22">
        <f ca="1">OFFSET(Gemini抽出データ!$A$1,BC22,3)</f>
        <v>0</v>
      </c>
      <c r="BE26" s="23"/>
      <c r="BF26" s="28"/>
      <c r="BG26" s="22">
        <f ca="1">OFFSET(Gemini抽出データ!$A$1,BF22,3)</f>
        <v>0</v>
      </c>
      <c r="BH26" s="24"/>
      <c r="BI26" s="10"/>
      <c r="BJ26" s="22">
        <f ca="1">OFFSET(Gemini抽出データ!$A$1,BI22,3)</f>
        <v>0</v>
      </c>
      <c r="BK26" s="24"/>
      <c r="BL26" s="28"/>
      <c r="BM26" s="22">
        <f ca="1">OFFSET(Gemini抽出データ!$A$1,BL22,3)</f>
        <v>0</v>
      </c>
      <c r="BN26" s="24"/>
      <c r="BO26" s="29"/>
      <c r="BP26" s="22">
        <f ca="1">OFFSET(Gemini抽出データ!$A$1,BO22,3)</f>
        <v>0</v>
      </c>
      <c r="BQ26" s="23"/>
      <c r="BR26" s="28"/>
      <c r="BS26" s="22">
        <f ca="1">OFFSET(Gemini抽出データ!$A$1,BR22,3)</f>
        <v>0</v>
      </c>
      <c r="BT26" s="24"/>
      <c r="BU26" s="10"/>
      <c r="BV26" s="22">
        <f ca="1">OFFSET(Gemini抽出データ!$A$1,BU22,3)</f>
        <v>0</v>
      </c>
      <c r="BW26" s="24"/>
      <c r="BX26" s="28"/>
      <c r="BY26" s="22">
        <f ca="1">OFFSET(Gemini抽出データ!$A$1,BX22,3)</f>
        <v>0</v>
      </c>
      <c r="BZ26" s="24"/>
      <c r="CA26" s="29"/>
      <c r="CB26" s="22">
        <f ca="1">OFFSET(Gemini抽出データ!$A$1,CA22,3)</f>
        <v>0</v>
      </c>
      <c r="CC26" s="23"/>
      <c r="CD26" s="28"/>
      <c r="CE26" s="22">
        <f ca="1">OFFSET(Gemini抽出データ!$A$1,CD22,3)</f>
        <v>0</v>
      </c>
      <c r="CF26" s="24"/>
      <c r="CG26" s="10"/>
      <c r="CH26" s="22">
        <f ca="1">OFFSET(Gemini抽出データ!$A$1,CG22,3)</f>
        <v>0</v>
      </c>
      <c r="CI26" s="24"/>
      <c r="CJ26" s="28"/>
      <c r="CK26" s="22">
        <f ca="1">OFFSET(Gemini抽出データ!$A$1,CJ22,3)</f>
        <v>0</v>
      </c>
      <c r="CL26" s="24"/>
      <c r="CM26" s="29"/>
      <c r="CN26" s="22">
        <f ca="1">OFFSET(Gemini抽出データ!$A$1,CM22,3)</f>
        <v>0</v>
      </c>
      <c r="CO26" s="23"/>
      <c r="CP26" s="28"/>
      <c r="CQ26" s="22">
        <f ca="1">OFFSET(Gemini抽出データ!$A$1,CP22,3)</f>
        <v>0</v>
      </c>
      <c r="CR26" s="24"/>
      <c r="CS26" s="10"/>
      <c r="CT26" s="22">
        <f ca="1">OFFSET(Gemini抽出データ!$A$1,CS22,3)</f>
        <v>0</v>
      </c>
      <c r="CU26" s="24"/>
      <c r="CV26" s="28"/>
      <c r="CW26" s="22">
        <f ca="1">OFFSET(Gemini抽出データ!$A$1,CV22,3)</f>
        <v>0</v>
      </c>
      <c r="CX26" s="24"/>
      <c r="CY26" s="29"/>
      <c r="CZ26" s="22">
        <f ca="1">OFFSET(Gemini抽出データ!$A$1,CY22,3)</f>
        <v>0</v>
      </c>
      <c r="DA26" s="23"/>
      <c r="DB26" s="28"/>
      <c r="DC26" s="22">
        <f ca="1">OFFSET(Gemini抽出データ!$A$1,DB22,3)</f>
        <v>0</v>
      </c>
      <c r="DD26" s="24"/>
      <c r="DE26" s="10"/>
      <c r="DF26" s="22">
        <f ca="1">OFFSET(Gemini抽出データ!$A$1,DE22,3)</f>
        <v>0</v>
      </c>
      <c r="DG26" s="24"/>
      <c r="DH26" s="28"/>
      <c r="DI26" s="22">
        <f ca="1">OFFSET(Gemini抽出データ!$A$1,DH22,3)</f>
        <v>0</v>
      </c>
      <c r="DJ26" s="24"/>
      <c r="DK26" s="29"/>
      <c r="DL26" s="22">
        <f ca="1">OFFSET(Gemini抽出データ!$A$1,DK22,3)</f>
        <v>0</v>
      </c>
      <c r="DM26" s="23"/>
      <c r="DN26" s="28"/>
      <c r="DO26" s="22">
        <f ca="1">OFFSET(Gemini抽出データ!$A$1,DN22,3)</f>
        <v>0</v>
      </c>
      <c r="DP26" s="24"/>
      <c r="DQ26" s="10"/>
      <c r="DR26" s="22">
        <f ca="1">OFFSET(Gemini抽出データ!$A$1,DQ22,3)</f>
        <v>0</v>
      </c>
      <c r="DS26" s="24"/>
      <c r="DT26" s="28"/>
      <c r="DU26" s="22">
        <f ca="1">OFFSET(Gemini抽出データ!$A$1,DT22,3)</f>
        <v>0</v>
      </c>
      <c r="DV26" s="24"/>
      <c r="DW26" s="29"/>
      <c r="DX26" s="22">
        <f ca="1">OFFSET(Gemini抽出データ!$A$1,DW22,3)</f>
        <v>0</v>
      </c>
      <c r="DY26" s="23"/>
      <c r="DZ26" s="28"/>
      <c r="EA26" s="22">
        <f ca="1">OFFSET(Gemini抽出データ!$A$1,DZ22,3)</f>
        <v>0</v>
      </c>
      <c r="EB26" s="24"/>
      <c r="EC26" s="10"/>
      <c r="ED26" s="22">
        <f ca="1">OFFSET(Gemini抽出データ!$A$1,EC22,3)</f>
        <v>0</v>
      </c>
      <c r="EE26" s="24"/>
      <c r="EF26" s="28"/>
      <c r="EG26" s="22">
        <f ca="1">OFFSET(Gemini抽出データ!$A$1,EF22,3)</f>
        <v>0</v>
      </c>
      <c r="EH26" s="24"/>
      <c r="EI26" s="29"/>
      <c r="EJ26" s="22">
        <f ca="1">OFFSET(Gemini抽出データ!$A$1,EI22,3)</f>
        <v>0</v>
      </c>
      <c r="EK26" s="23"/>
      <c r="EL26" s="28"/>
      <c r="EM26" s="22">
        <f ca="1">OFFSET(Gemini抽出データ!$A$1,EL22,3)</f>
        <v>0</v>
      </c>
      <c r="EN26" s="24"/>
      <c r="EO26" s="10"/>
      <c r="EP26" s="22">
        <f ca="1">OFFSET(Gemini抽出データ!$A$1,EO22,3)</f>
        <v>0</v>
      </c>
      <c r="EQ26" s="24"/>
      <c r="ER26" s="28"/>
      <c r="ES26" s="22">
        <f ca="1">OFFSET(Gemini抽出データ!$A$1,ER22,3)</f>
        <v>0</v>
      </c>
      <c r="ET26" s="24"/>
      <c r="EU26" s="29"/>
      <c r="EV26" s="22">
        <f ca="1">OFFSET(Gemini抽出データ!$A$1,EU22,3)</f>
        <v>0</v>
      </c>
      <c r="EW26" s="23"/>
      <c r="EX26" s="28"/>
      <c r="EY26" s="22">
        <f ca="1">OFFSET(Gemini抽出データ!$A$1,EX22,3)</f>
        <v>0</v>
      </c>
      <c r="EZ26" s="24"/>
      <c r="FA26" s="10"/>
      <c r="FB26" s="22">
        <f ca="1">OFFSET(Gemini抽出データ!$A$1,FA22,3)</f>
        <v>0</v>
      </c>
      <c r="FC26" s="24"/>
      <c r="FD26" s="28"/>
      <c r="FE26" s="22">
        <f ca="1">OFFSET(Gemini抽出データ!$A$1,FD22,3)</f>
        <v>0</v>
      </c>
      <c r="FF26" s="24"/>
      <c r="FG26" s="29"/>
      <c r="FH26" s="22">
        <f ca="1">OFFSET(Gemini抽出データ!$A$1,FG22,3)</f>
        <v>0</v>
      </c>
      <c r="FI26" s="23"/>
      <c r="FJ26" s="28"/>
      <c r="FK26" s="22">
        <f ca="1">OFFSET(Gemini抽出データ!$A$1,FJ22,3)</f>
        <v>0</v>
      </c>
      <c r="FL26" s="24"/>
      <c r="FM26" s="10"/>
      <c r="FN26" s="22">
        <f ca="1">OFFSET(Gemini抽出データ!$A$1,FM22,3)</f>
        <v>0</v>
      </c>
      <c r="FO26" s="24"/>
      <c r="FP26" s="28"/>
      <c r="FQ26" s="22">
        <f ca="1">OFFSET(Gemini抽出データ!$A$1,FP22,3)</f>
        <v>0</v>
      </c>
      <c r="FR26" s="24"/>
      <c r="FS26" s="29"/>
      <c r="FT26" s="22">
        <f ca="1">OFFSET(Gemini抽出データ!$A$1,FS22,3)</f>
        <v>0</v>
      </c>
      <c r="FU26" s="23"/>
      <c r="FV26" s="28"/>
      <c r="FW26" s="22">
        <f ca="1">OFFSET(Gemini抽出データ!$A$1,FV22,3)</f>
        <v>0</v>
      </c>
      <c r="FX26" s="24"/>
      <c r="FY26" s="10"/>
      <c r="FZ26" s="22">
        <f ca="1">OFFSET(Gemini抽出データ!$A$1,FY22,3)</f>
        <v>0</v>
      </c>
      <c r="GA26" s="24"/>
      <c r="GB26" s="28"/>
      <c r="GC26" s="22">
        <f ca="1">OFFSET(Gemini抽出データ!$A$1,GB22,3)</f>
        <v>0</v>
      </c>
      <c r="GD26" s="24"/>
      <c r="GE26" s="29"/>
      <c r="GF26" s="22">
        <f ca="1">OFFSET(Gemini抽出データ!$A$1,GE22,3)</f>
        <v>0</v>
      </c>
      <c r="GG26" s="23"/>
      <c r="GH26" s="28"/>
      <c r="GI26" s="22">
        <f ca="1">OFFSET(Gemini抽出データ!$A$1,GH22,3)</f>
        <v>0</v>
      </c>
      <c r="GJ26" s="24"/>
      <c r="GK26" s="10"/>
      <c r="GL26" s="22">
        <f ca="1">OFFSET(Gemini抽出データ!$A$1,GK22,3)</f>
        <v>0</v>
      </c>
      <c r="GM26" s="24"/>
      <c r="GN26" s="28"/>
      <c r="GO26" s="22">
        <f ca="1">OFFSET(Gemini抽出データ!$A$1,GN22,3)</f>
        <v>0</v>
      </c>
      <c r="GP26" s="24"/>
      <c r="GQ26" s="29"/>
      <c r="GR26" s="22">
        <f ca="1">OFFSET(Gemini抽出データ!$A$1,GQ22,3)</f>
        <v>0</v>
      </c>
      <c r="GS26" s="23"/>
      <c r="GT26" s="28"/>
      <c r="GU26" s="22">
        <f ca="1">OFFSET(Gemini抽出データ!$A$1,GT22,3)</f>
        <v>0</v>
      </c>
      <c r="GV26" s="24"/>
      <c r="GW26" s="10"/>
      <c r="GX26" s="22">
        <f ca="1">OFFSET(Gemini抽出データ!$A$1,GW22,3)</f>
        <v>0</v>
      </c>
      <c r="GY26" s="24"/>
      <c r="GZ26" s="28"/>
      <c r="HA26" s="22">
        <f ca="1">OFFSET(Gemini抽出データ!$A$1,GZ22,3)</f>
        <v>0</v>
      </c>
      <c r="HB26" s="24"/>
      <c r="HC26" s="29"/>
      <c r="HD26" s="22">
        <f ca="1">OFFSET(Gemini抽出データ!$A$1,HC22,3)</f>
        <v>0</v>
      </c>
      <c r="HE26" s="23"/>
      <c r="HF26" s="28"/>
      <c r="HG26" s="22">
        <f ca="1">OFFSET(Gemini抽出データ!$A$1,HF22,3)</f>
        <v>0</v>
      </c>
      <c r="HH26" s="24"/>
      <c r="HI26" s="10"/>
      <c r="HJ26" s="22">
        <f ca="1">OFFSET(Gemini抽出データ!$A$1,HI22,3)</f>
        <v>0</v>
      </c>
      <c r="HK26" s="24"/>
      <c r="HL26" s="28"/>
      <c r="HM26" s="22">
        <f ca="1">OFFSET(Gemini抽出データ!$A$1,HL22,3)</f>
        <v>0</v>
      </c>
      <c r="HN26" s="24"/>
      <c r="HO26" s="29"/>
      <c r="HP26" s="22">
        <f ca="1">OFFSET(Gemini抽出データ!$A$1,HO22,3)</f>
        <v>0</v>
      </c>
      <c r="HQ26" s="23"/>
      <c r="HR26" s="28"/>
      <c r="HS26" s="22">
        <f ca="1">OFFSET(Gemini抽出データ!$A$1,HR22,3)</f>
        <v>0</v>
      </c>
      <c r="HT26" s="24"/>
      <c r="HU26" s="2" t="e">
        <f ca="1">OFFSET(Gemini抽出データ!$A$1,#REF!,3)</f>
        <v>#REF!</v>
      </c>
      <c r="HV26" s="3"/>
    </row>
    <row r="27" spans="1:230" ht="17.100000000000001" customHeight="1" x14ac:dyDescent="0.45">
      <c r="A27" s="10"/>
      <c r="B27" s="23"/>
      <c r="C27" s="24"/>
      <c r="D27" s="28" t="str">
        <f>"クラス"&amp;D$1</f>
        <v>クラス2</v>
      </c>
      <c r="E27" s="23"/>
      <c r="F27" s="24"/>
      <c r="G27" s="29" t="str">
        <f>"クラス"&amp;G$1</f>
        <v>クラス3</v>
      </c>
      <c r="H27" s="23"/>
      <c r="I27" s="23"/>
      <c r="J27" s="28" t="str">
        <f>"クラス"&amp;J$1</f>
        <v>クラス4</v>
      </c>
      <c r="K27" s="23"/>
      <c r="L27" s="24"/>
      <c r="M27" s="10"/>
      <c r="N27" s="23"/>
      <c r="O27" s="24"/>
      <c r="P27" s="28" t="str">
        <f>"クラス"&amp;P$1</f>
        <v>クラス30</v>
      </c>
      <c r="Q27" s="23"/>
      <c r="R27" s="24"/>
      <c r="S27" s="29" t="str">
        <f>"クラス"&amp;S$1</f>
        <v>クラス31</v>
      </c>
      <c r="T27" s="23"/>
      <c r="U27" s="23"/>
      <c r="V27" s="28" t="str">
        <f>"クラス"&amp;V$1</f>
        <v>クラス32</v>
      </c>
      <c r="W27" s="23"/>
      <c r="X27" s="24"/>
      <c r="Y27" s="10"/>
      <c r="Z27" s="23"/>
      <c r="AA27" s="24"/>
      <c r="AB27" s="28" t="str">
        <f>"クラス"&amp;AB$1</f>
        <v>クラス58</v>
      </c>
      <c r="AC27" s="23"/>
      <c r="AD27" s="24"/>
      <c r="AE27" s="29" t="str">
        <f>"クラス"&amp;AE$1</f>
        <v>クラス59</v>
      </c>
      <c r="AF27" s="23"/>
      <c r="AG27" s="23"/>
      <c r="AH27" s="28" t="str">
        <f>"クラス"&amp;AH$1</f>
        <v>クラス60</v>
      </c>
      <c r="AI27" s="23"/>
      <c r="AJ27" s="24"/>
      <c r="AK27" s="10"/>
      <c r="AL27" s="23"/>
      <c r="AM27" s="24"/>
      <c r="AN27" s="28" t="str">
        <f>"クラス"&amp;AN$1</f>
        <v>クラス86</v>
      </c>
      <c r="AO27" s="23"/>
      <c r="AP27" s="24"/>
      <c r="AQ27" s="29" t="str">
        <f>"クラス"&amp;AQ$1</f>
        <v>クラス87</v>
      </c>
      <c r="AR27" s="23"/>
      <c r="AS27" s="23"/>
      <c r="AT27" s="28" t="str">
        <f>"クラス"&amp;AT$1</f>
        <v>クラス88</v>
      </c>
      <c r="AU27" s="23"/>
      <c r="AV27" s="24"/>
      <c r="AW27" s="10"/>
      <c r="AX27" s="23"/>
      <c r="AY27" s="24"/>
      <c r="AZ27" s="28" t="str">
        <f>"クラス"&amp;AZ$1</f>
        <v>クラス114</v>
      </c>
      <c r="BA27" s="23"/>
      <c r="BB27" s="24"/>
      <c r="BC27" s="29" t="str">
        <f>"クラス"&amp;BC$1</f>
        <v>クラス115</v>
      </c>
      <c r="BD27" s="23"/>
      <c r="BE27" s="23"/>
      <c r="BF27" s="28" t="str">
        <f>"クラス"&amp;BF$1</f>
        <v>クラス116</v>
      </c>
      <c r="BG27" s="23"/>
      <c r="BH27" s="24"/>
      <c r="BI27" s="10"/>
      <c r="BJ27" s="23"/>
      <c r="BK27" s="24"/>
      <c r="BL27" s="28" t="str">
        <f>"クラス"&amp;BL$1</f>
        <v>クラス142</v>
      </c>
      <c r="BM27" s="23"/>
      <c r="BN27" s="24"/>
      <c r="BO27" s="29" t="str">
        <f>"クラス"&amp;BO$1</f>
        <v>クラス143</v>
      </c>
      <c r="BP27" s="23"/>
      <c r="BQ27" s="23"/>
      <c r="BR27" s="28" t="str">
        <f>"クラス"&amp;BR$1</f>
        <v>クラス144</v>
      </c>
      <c r="BS27" s="23"/>
      <c r="BT27" s="24"/>
      <c r="BU27" s="10"/>
      <c r="BV27" s="23"/>
      <c r="BW27" s="24"/>
      <c r="BX27" s="28" t="str">
        <f>"クラス"&amp;BX$1</f>
        <v>クラス170</v>
      </c>
      <c r="BY27" s="23"/>
      <c r="BZ27" s="24"/>
      <c r="CA27" s="29" t="str">
        <f>"クラス"&amp;CA$1</f>
        <v>クラス171</v>
      </c>
      <c r="CB27" s="23"/>
      <c r="CC27" s="23"/>
      <c r="CD27" s="28" t="str">
        <f>"クラス"&amp;CD$1</f>
        <v>クラス172</v>
      </c>
      <c r="CE27" s="23"/>
      <c r="CF27" s="24"/>
      <c r="CG27" s="10"/>
      <c r="CH27" s="23"/>
      <c r="CI27" s="24"/>
      <c r="CJ27" s="28" t="str">
        <f>"クラス"&amp;CJ$1</f>
        <v>クラス198</v>
      </c>
      <c r="CK27" s="23"/>
      <c r="CL27" s="24"/>
      <c r="CM27" s="29" t="str">
        <f>"クラス"&amp;CM$1</f>
        <v>クラス199</v>
      </c>
      <c r="CN27" s="23"/>
      <c r="CO27" s="23"/>
      <c r="CP27" s="28" t="str">
        <f>"クラス"&amp;CP$1</f>
        <v>クラス200</v>
      </c>
      <c r="CQ27" s="23"/>
      <c r="CR27" s="24"/>
      <c r="CS27" s="10"/>
      <c r="CT27" s="23"/>
      <c r="CU27" s="24"/>
      <c r="CV27" s="28" t="str">
        <f>"クラス"&amp;CV$1</f>
        <v>クラス226</v>
      </c>
      <c r="CW27" s="23"/>
      <c r="CX27" s="24"/>
      <c r="CY27" s="29" t="str">
        <f>"クラス"&amp;CY$1</f>
        <v>クラス227</v>
      </c>
      <c r="CZ27" s="23"/>
      <c r="DA27" s="23"/>
      <c r="DB27" s="28" t="str">
        <f>"クラス"&amp;DB$1</f>
        <v>クラス228</v>
      </c>
      <c r="DC27" s="23"/>
      <c r="DD27" s="24"/>
      <c r="DE27" s="10"/>
      <c r="DF27" s="23"/>
      <c r="DG27" s="24"/>
      <c r="DH27" s="28" t="str">
        <f>"クラス"&amp;DH$1</f>
        <v>クラス254</v>
      </c>
      <c r="DI27" s="23"/>
      <c r="DJ27" s="24"/>
      <c r="DK27" s="29" t="str">
        <f>"クラス"&amp;DK$1</f>
        <v>クラス255</v>
      </c>
      <c r="DL27" s="23"/>
      <c r="DM27" s="23"/>
      <c r="DN27" s="28" t="str">
        <f>"クラス"&amp;DN$1</f>
        <v>クラス256</v>
      </c>
      <c r="DO27" s="23"/>
      <c r="DP27" s="24"/>
      <c r="DQ27" s="10"/>
      <c r="DR27" s="23"/>
      <c r="DS27" s="24"/>
      <c r="DT27" s="28" t="str">
        <f>"クラス"&amp;DT$1</f>
        <v>クラス282</v>
      </c>
      <c r="DU27" s="23"/>
      <c r="DV27" s="24"/>
      <c r="DW27" s="29" t="str">
        <f>"クラス"&amp;DW$1</f>
        <v>クラス283</v>
      </c>
      <c r="DX27" s="23"/>
      <c r="DY27" s="23"/>
      <c r="DZ27" s="28" t="str">
        <f>"クラス"&amp;DZ$1</f>
        <v>クラス284</v>
      </c>
      <c r="EA27" s="23"/>
      <c r="EB27" s="24"/>
      <c r="EC27" s="10"/>
      <c r="ED27" s="23"/>
      <c r="EE27" s="24"/>
      <c r="EF27" s="28" t="str">
        <f>"クラス"&amp;EF$1</f>
        <v>クラス310</v>
      </c>
      <c r="EG27" s="23"/>
      <c r="EH27" s="24"/>
      <c r="EI27" s="29" t="str">
        <f>"クラス"&amp;EI$1</f>
        <v>クラス311</v>
      </c>
      <c r="EJ27" s="23"/>
      <c r="EK27" s="23"/>
      <c r="EL27" s="28" t="str">
        <f>"クラス"&amp;EL$1</f>
        <v>クラス312</v>
      </c>
      <c r="EM27" s="23"/>
      <c r="EN27" s="24"/>
      <c r="EO27" s="10"/>
      <c r="EP27" s="23"/>
      <c r="EQ27" s="24"/>
      <c r="ER27" s="28" t="str">
        <f>"クラス"&amp;ER$1</f>
        <v>クラス338</v>
      </c>
      <c r="ES27" s="23"/>
      <c r="ET27" s="24"/>
      <c r="EU27" s="29" t="str">
        <f>"クラス"&amp;EU$1</f>
        <v>クラス339</v>
      </c>
      <c r="EV27" s="23"/>
      <c r="EW27" s="23"/>
      <c r="EX27" s="28" t="str">
        <f>"クラス"&amp;EX$1</f>
        <v>クラス340</v>
      </c>
      <c r="EY27" s="23"/>
      <c r="EZ27" s="24"/>
      <c r="FA27" s="10"/>
      <c r="FB27" s="23"/>
      <c r="FC27" s="24"/>
      <c r="FD27" s="28" t="str">
        <f>"クラス"&amp;FD$1</f>
        <v>クラス366</v>
      </c>
      <c r="FE27" s="23"/>
      <c r="FF27" s="24"/>
      <c r="FG27" s="29" t="str">
        <f>"クラス"&amp;FG$1</f>
        <v>クラス367</v>
      </c>
      <c r="FH27" s="23"/>
      <c r="FI27" s="23"/>
      <c r="FJ27" s="28" t="str">
        <f>"クラス"&amp;FJ$1</f>
        <v>クラス368</v>
      </c>
      <c r="FK27" s="23"/>
      <c r="FL27" s="24"/>
      <c r="FM27" s="10"/>
      <c r="FN27" s="23"/>
      <c r="FO27" s="24"/>
      <c r="FP27" s="28" t="str">
        <f>"クラス"&amp;FP$1</f>
        <v>クラス394</v>
      </c>
      <c r="FQ27" s="23"/>
      <c r="FR27" s="24"/>
      <c r="FS27" s="29" t="str">
        <f>"クラス"&amp;FS$1</f>
        <v>クラス395</v>
      </c>
      <c r="FT27" s="23"/>
      <c r="FU27" s="23"/>
      <c r="FV27" s="28" t="str">
        <f>"クラス"&amp;FV$1</f>
        <v>クラス396</v>
      </c>
      <c r="FW27" s="23"/>
      <c r="FX27" s="24"/>
      <c r="FY27" s="10"/>
      <c r="FZ27" s="23"/>
      <c r="GA27" s="24"/>
      <c r="GB27" s="28" t="str">
        <f>"クラス"&amp;GB$1</f>
        <v>クラス422</v>
      </c>
      <c r="GC27" s="23"/>
      <c r="GD27" s="24"/>
      <c r="GE27" s="29" t="str">
        <f>"クラス"&amp;GE$1</f>
        <v>クラス423</v>
      </c>
      <c r="GF27" s="23"/>
      <c r="GG27" s="23"/>
      <c r="GH27" s="28" t="str">
        <f>"クラス"&amp;GH$1</f>
        <v>クラス424</v>
      </c>
      <c r="GI27" s="23"/>
      <c r="GJ27" s="24"/>
      <c r="GK27" s="10"/>
      <c r="GL27" s="23"/>
      <c r="GM27" s="24"/>
      <c r="GN27" s="28" t="str">
        <f>"クラス"&amp;GN$1</f>
        <v>クラス450</v>
      </c>
      <c r="GO27" s="23"/>
      <c r="GP27" s="24"/>
      <c r="GQ27" s="29" t="str">
        <f>"クラス"&amp;GQ$1</f>
        <v>クラス451</v>
      </c>
      <c r="GR27" s="23"/>
      <c r="GS27" s="23"/>
      <c r="GT27" s="28" t="str">
        <f>"クラス"&amp;GT$1</f>
        <v>クラス452</v>
      </c>
      <c r="GU27" s="23"/>
      <c r="GV27" s="24"/>
      <c r="GW27" s="10"/>
      <c r="GX27" s="23"/>
      <c r="GY27" s="24"/>
      <c r="GZ27" s="28" t="str">
        <f>"クラス"&amp;GZ$1</f>
        <v>クラス478</v>
      </c>
      <c r="HA27" s="23"/>
      <c r="HB27" s="24"/>
      <c r="HC27" s="29" t="str">
        <f>"クラス"&amp;HC$1</f>
        <v>クラス479</v>
      </c>
      <c r="HD27" s="23"/>
      <c r="HE27" s="23"/>
      <c r="HF27" s="28" t="str">
        <f>"クラス"&amp;HF$1</f>
        <v>クラス480</v>
      </c>
      <c r="HG27" s="23"/>
      <c r="HH27" s="24"/>
      <c r="HI27" s="10"/>
      <c r="HJ27" s="23"/>
      <c r="HK27" s="24"/>
      <c r="HL27" s="28" t="str">
        <f>"クラス"&amp;HL$1</f>
        <v>クラス506</v>
      </c>
      <c r="HM27" s="23"/>
      <c r="HN27" s="24"/>
      <c r="HO27" s="29" t="str">
        <f>"クラス"&amp;HO$1</f>
        <v>クラス507</v>
      </c>
      <c r="HP27" s="23"/>
      <c r="HQ27" s="23"/>
      <c r="HR27" s="28" t="str">
        <f>"クラス"&amp;HR$1</f>
        <v>クラス508</v>
      </c>
      <c r="HS27" s="23"/>
      <c r="HT27" s="24"/>
      <c r="HU27" s="3"/>
      <c r="HV27" s="3"/>
    </row>
    <row r="28" spans="1:230" ht="17.100000000000001" customHeight="1" x14ac:dyDescent="0.45">
      <c r="A28" s="16" t="str">
        <f>"クラス"&amp;A$1</f>
        <v>クラス1</v>
      </c>
      <c r="B28" s="17">
        <f ca="1">OFFSET(Gemini抽出データ!$A$1,A22,4)</f>
        <v>0</v>
      </c>
      <c r="C28" s="18" t="str">
        <f ca="1">IF(OFFSET(Gemini抽出データ!$A$1,A22,5)=0,"",OFFSET(Gemini抽出データ!$A$1,A22,5))</f>
        <v/>
      </c>
      <c r="D28" s="16" t="str">
        <f>A28</f>
        <v>クラス1</v>
      </c>
      <c r="E28" s="17">
        <f ca="1">OFFSET(Gemini抽出データ!$A$1,D22,4)</f>
        <v>0</v>
      </c>
      <c r="F28" s="18" t="str">
        <f ca="1">IF(OFFSET(Gemini抽出データ!$A$1,D22,5)=0,"",OFFSET(Gemini抽出データ!$A$1,D22,5))</f>
        <v/>
      </c>
      <c r="G28" s="19" t="str">
        <f>A28</f>
        <v>クラス1</v>
      </c>
      <c r="H28" s="17">
        <f ca="1">OFFSET(Gemini抽出データ!$A$1,G22,4)</f>
        <v>0</v>
      </c>
      <c r="I28" s="17" t="str">
        <f ca="1">IF(OFFSET(Gemini抽出データ!$A$1,G22,5)=0,"",OFFSET(Gemini抽出データ!$A$1,G22,5))</f>
        <v/>
      </c>
      <c r="J28" s="16" t="str">
        <f>G28</f>
        <v>クラス1</v>
      </c>
      <c r="K28" s="17">
        <f ca="1">OFFSET(Gemini抽出データ!$A$1,J22,4)</f>
        <v>0</v>
      </c>
      <c r="L28" s="18" t="str">
        <f ca="1">IF(OFFSET(Gemini抽出データ!$A$1,J22,5)=0,"",OFFSET(Gemini抽出データ!$A$1,J22,5))</f>
        <v/>
      </c>
      <c r="M28" s="16" t="str">
        <f>"クラス"&amp;M$1</f>
        <v>クラス29</v>
      </c>
      <c r="N28" s="17">
        <f ca="1">OFFSET(Gemini抽出データ!$A$1,M22,4)</f>
        <v>0</v>
      </c>
      <c r="O28" s="18" t="str">
        <f ca="1">IF(OFFSET(Gemini抽出データ!$A$1,M22,5)=0,"",OFFSET(Gemini抽出データ!$A$1,M22,5))</f>
        <v/>
      </c>
      <c r="P28" s="16" t="str">
        <f>M28</f>
        <v>クラス29</v>
      </c>
      <c r="Q28" s="17">
        <f ca="1">OFFSET(Gemini抽出データ!$A$1,P22,4)</f>
        <v>0</v>
      </c>
      <c r="R28" s="18" t="str">
        <f ca="1">IF(OFFSET(Gemini抽出データ!$A$1,P22,5)=0,"",OFFSET(Gemini抽出データ!$A$1,P22,5))</f>
        <v/>
      </c>
      <c r="S28" s="19" t="str">
        <f>M28</f>
        <v>クラス29</v>
      </c>
      <c r="T28" s="17">
        <f ca="1">OFFSET(Gemini抽出データ!$A$1,S22,4)</f>
        <v>0</v>
      </c>
      <c r="U28" s="17" t="str">
        <f ca="1">IF(OFFSET(Gemini抽出データ!$A$1,S22,5)=0,"",OFFSET(Gemini抽出データ!$A$1,S22,5))</f>
        <v/>
      </c>
      <c r="V28" s="16" t="str">
        <f>S28</f>
        <v>クラス29</v>
      </c>
      <c r="W28" s="17">
        <f ca="1">OFFSET(Gemini抽出データ!$A$1,V22,4)</f>
        <v>0</v>
      </c>
      <c r="X28" s="18" t="str">
        <f ca="1">IF(OFFSET(Gemini抽出データ!$A$1,V22,5)=0,"",OFFSET(Gemini抽出データ!$A$1,V22,5))</f>
        <v/>
      </c>
      <c r="Y28" s="16" t="str">
        <f>"クラス"&amp;Y$1</f>
        <v>クラス57</v>
      </c>
      <c r="Z28" s="17">
        <f ca="1">OFFSET(Gemini抽出データ!$A$1,Y22,4)</f>
        <v>0</v>
      </c>
      <c r="AA28" s="18" t="str">
        <f ca="1">IF(OFFSET(Gemini抽出データ!$A$1,Y22,5)=0,"",OFFSET(Gemini抽出データ!$A$1,Y22,5))</f>
        <v/>
      </c>
      <c r="AB28" s="16" t="str">
        <f>Y28</f>
        <v>クラス57</v>
      </c>
      <c r="AC28" s="17">
        <f ca="1">OFFSET(Gemini抽出データ!$A$1,AB22,4)</f>
        <v>0</v>
      </c>
      <c r="AD28" s="18" t="str">
        <f ca="1">IF(OFFSET(Gemini抽出データ!$A$1,AB22,5)=0,"",OFFSET(Gemini抽出データ!$A$1,AB22,5))</f>
        <v/>
      </c>
      <c r="AE28" s="19" t="str">
        <f>Y28</f>
        <v>クラス57</v>
      </c>
      <c r="AF28" s="17">
        <f ca="1">OFFSET(Gemini抽出データ!$A$1,AE22,4)</f>
        <v>0</v>
      </c>
      <c r="AG28" s="17" t="str">
        <f ca="1">IF(OFFSET(Gemini抽出データ!$A$1,AE22,5)=0,"",OFFSET(Gemini抽出データ!$A$1,AE22,5))</f>
        <v/>
      </c>
      <c r="AH28" s="16" t="str">
        <f>AE28</f>
        <v>クラス57</v>
      </c>
      <c r="AI28" s="17">
        <f ca="1">OFFSET(Gemini抽出データ!$A$1,AH22,4)</f>
        <v>0</v>
      </c>
      <c r="AJ28" s="18" t="str">
        <f ca="1">IF(OFFSET(Gemini抽出データ!$A$1,AH22,5)=0,"",OFFSET(Gemini抽出データ!$A$1,AH22,5))</f>
        <v/>
      </c>
      <c r="AK28" s="16" t="str">
        <f>"クラス"&amp;AK$1</f>
        <v>クラス85</v>
      </c>
      <c r="AL28" s="17">
        <f ca="1">OFFSET(Gemini抽出データ!$A$1,AK22,4)</f>
        <v>0</v>
      </c>
      <c r="AM28" s="18" t="str">
        <f ca="1">IF(OFFSET(Gemini抽出データ!$A$1,AK22,5)=0,"",OFFSET(Gemini抽出データ!$A$1,AK22,5))</f>
        <v/>
      </c>
      <c r="AN28" s="16" t="str">
        <f>AK28</f>
        <v>クラス85</v>
      </c>
      <c r="AO28" s="17">
        <f ca="1">OFFSET(Gemini抽出データ!$A$1,AN22,4)</f>
        <v>0</v>
      </c>
      <c r="AP28" s="18" t="str">
        <f ca="1">IF(OFFSET(Gemini抽出データ!$A$1,AN22,5)=0,"",OFFSET(Gemini抽出データ!$A$1,AN22,5))</f>
        <v/>
      </c>
      <c r="AQ28" s="19" t="str">
        <f>AK28</f>
        <v>クラス85</v>
      </c>
      <c r="AR28" s="17">
        <f ca="1">OFFSET(Gemini抽出データ!$A$1,AQ22,4)</f>
        <v>0</v>
      </c>
      <c r="AS28" s="17" t="str">
        <f ca="1">IF(OFFSET(Gemini抽出データ!$A$1,AQ22,5)=0,"",OFFSET(Gemini抽出データ!$A$1,AQ22,5))</f>
        <v/>
      </c>
      <c r="AT28" s="16" t="str">
        <f>AQ28</f>
        <v>クラス85</v>
      </c>
      <c r="AU28" s="17">
        <f ca="1">OFFSET(Gemini抽出データ!$A$1,AT22,4)</f>
        <v>0</v>
      </c>
      <c r="AV28" s="18" t="str">
        <f ca="1">IF(OFFSET(Gemini抽出データ!$A$1,AT22,5)=0,"",OFFSET(Gemini抽出データ!$A$1,AT22,5))</f>
        <v/>
      </c>
      <c r="AW28" s="16" t="str">
        <f>"クラス"&amp;AW$1</f>
        <v>クラス113</v>
      </c>
      <c r="AX28" s="17">
        <f ca="1">OFFSET(Gemini抽出データ!$A$1,AW22,4)</f>
        <v>0</v>
      </c>
      <c r="AY28" s="18" t="str">
        <f ca="1">IF(OFFSET(Gemini抽出データ!$A$1,AW22,5)=0,"",OFFSET(Gemini抽出データ!$A$1,AW22,5))</f>
        <v/>
      </c>
      <c r="AZ28" s="16" t="str">
        <f>AW28</f>
        <v>クラス113</v>
      </c>
      <c r="BA28" s="17">
        <f ca="1">OFFSET(Gemini抽出データ!$A$1,AZ22,4)</f>
        <v>0</v>
      </c>
      <c r="BB28" s="18" t="str">
        <f ca="1">IF(OFFSET(Gemini抽出データ!$A$1,AZ22,5)=0,"",OFFSET(Gemini抽出データ!$A$1,AZ22,5))</f>
        <v/>
      </c>
      <c r="BC28" s="19" t="str">
        <f>AW28</f>
        <v>クラス113</v>
      </c>
      <c r="BD28" s="17">
        <f ca="1">OFFSET(Gemini抽出データ!$A$1,BC22,4)</f>
        <v>0</v>
      </c>
      <c r="BE28" s="17" t="str">
        <f ca="1">IF(OFFSET(Gemini抽出データ!$A$1,BC22,5)=0,"",OFFSET(Gemini抽出データ!$A$1,BC22,5))</f>
        <v/>
      </c>
      <c r="BF28" s="16" t="str">
        <f>BC28</f>
        <v>クラス113</v>
      </c>
      <c r="BG28" s="17">
        <f ca="1">OFFSET(Gemini抽出データ!$A$1,BF22,4)</f>
        <v>0</v>
      </c>
      <c r="BH28" s="18" t="str">
        <f ca="1">IF(OFFSET(Gemini抽出データ!$A$1,BF22,5)=0,"",OFFSET(Gemini抽出データ!$A$1,BF22,5))</f>
        <v/>
      </c>
      <c r="BI28" s="16" t="str">
        <f>"クラス"&amp;BI$1</f>
        <v>クラス141</v>
      </c>
      <c r="BJ28" s="17">
        <f ca="1">OFFSET(Gemini抽出データ!$A$1,BI22,4)</f>
        <v>0</v>
      </c>
      <c r="BK28" s="18" t="str">
        <f ca="1">IF(OFFSET(Gemini抽出データ!$A$1,BI22,5)=0,"",OFFSET(Gemini抽出データ!$A$1,BI22,5))</f>
        <v/>
      </c>
      <c r="BL28" s="16" t="str">
        <f>BI28</f>
        <v>クラス141</v>
      </c>
      <c r="BM28" s="17">
        <f ca="1">OFFSET(Gemini抽出データ!$A$1,BL22,4)</f>
        <v>0</v>
      </c>
      <c r="BN28" s="18" t="str">
        <f ca="1">IF(OFFSET(Gemini抽出データ!$A$1,BL22,5)=0,"",OFFSET(Gemini抽出データ!$A$1,BL22,5))</f>
        <v/>
      </c>
      <c r="BO28" s="19" t="str">
        <f>BI28</f>
        <v>クラス141</v>
      </c>
      <c r="BP28" s="17">
        <f ca="1">OFFSET(Gemini抽出データ!$A$1,BO22,4)</f>
        <v>0</v>
      </c>
      <c r="BQ28" s="17" t="str">
        <f ca="1">IF(OFFSET(Gemini抽出データ!$A$1,BO22,5)=0,"",OFFSET(Gemini抽出データ!$A$1,BO22,5))</f>
        <v/>
      </c>
      <c r="BR28" s="16" t="str">
        <f>BO28</f>
        <v>クラス141</v>
      </c>
      <c r="BS28" s="17">
        <f ca="1">OFFSET(Gemini抽出データ!$A$1,BR22,4)</f>
        <v>0</v>
      </c>
      <c r="BT28" s="18" t="str">
        <f ca="1">IF(OFFSET(Gemini抽出データ!$A$1,BR22,5)=0,"",OFFSET(Gemini抽出データ!$A$1,BR22,5))</f>
        <v/>
      </c>
      <c r="BU28" s="16" t="str">
        <f>"クラス"&amp;BU$1</f>
        <v>クラス169</v>
      </c>
      <c r="BV28" s="17">
        <f ca="1">OFFSET(Gemini抽出データ!$A$1,BU22,4)</f>
        <v>0</v>
      </c>
      <c r="BW28" s="18" t="str">
        <f ca="1">IF(OFFSET(Gemini抽出データ!$A$1,BU22,5)=0,"",OFFSET(Gemini抽出データ!$A$1,BU22,5))</f>
        <v/>
      </c>
      <c r="BX28" s="16" t="str">
        <f>BU28</f>
        <v>クラス169</v>
      </c>
      <c r="BY28" s="17">
        <f ca="1">OFFSET(Gemini抽出データ!$A$1,BX22,4)</f>
        <v>0</v>
      </c>
      <c r="BZ28" s="18" t="str">
        <f ca="1">IF(OFFSET(Gemini抽出データ!$A$1,BX22,5)=0,"",OFFSET(Gemini抽出データ!$A$1,BX22,5))</f>
        <v/>
      </c>
      <c r="CA28" s="19" t="str">
        <f>BU28</f>
        <v>クラス169</v>
      </c>
      <c r="CB28" s="17">
        <f ca="1">OFFSET(Gemini抽出データ!$A$1,CA22,4)</f>
        <v>0</v>
      </c>
      <c r="CC28" s="17" t="str">
        <f ca="1">IF(OFFSET(Gemini抽出データ!$A$1,CA22,5)=0,"",OFFSET(Gemini抽出データ!$A$1,CA22,5))</f>
        <v/>
      </c>
      <c r="CD28" s="16" t="str">
        <f>CA28</f>
        <v>クラス169</v>
      </c>
      <c r="CE28" s="17">
        <f ca="1">OFFSET(Gemini抽出データ!$A$1,CD22,4)</f>
        <v>0</v>
      </c>
      <c r="CF28" s="18" t="str">
        <f ca="1">IF(OFFSET(Gemini抽出データ!$A$1,CD22,5)=0,"",OFFSET(Gemini抽出データ!$A$1,CD22,5))</f>
        <v/>
      </c>
      <c r="CG28" s="16" t="str">
        <f>"クラス"&amp;CG$1</f>
        <v>クラス197</v>
      </c>
      <c r="CH28" s="17">
        <f ca="1">OFFSET(Gemini抽出データ!$A$1,CG22,4)</f>
        <v>0</v>
      </c>
      <c r="CI28" s="18" t="str">
        <f ca="1">IF(OFFSET(Gemini抽出データ!$A$1,CG22,5)=0,"",OFFSET(Gemini抽出データ!$A$1,CG22,5))</f>
        <v/>
      </c>
      <c r="CJ28" s="16" t="str">
        <f>CG28</f>
        <v>クラス197</v>
      </c>
      <c r="CK28" s="17">
        <f ca="1">OFFSET(Gemini抽出データ!$A$1,CJ22,4)</f>
        <v>0</v>
      </c>
      <c r="CL28" s="18" t="str">
        <f ca="1">IF(OFFSET(Gemini抽出データ!$A$1,CJ22,5)=0,"",OFFSET(Gemini抽出データ!$A$1,CJ22,5))</f>
        <v/>
      </c>
      <c r="CM28" s="19" t="str">
        <f>CG28</f>
        <v>クラス197</v>
      </c>
      <c r="CN28" s="17">
        <f ca="1">OFFSET(Gemini抽出データ!$A$1,CM22,4)</f>
        <v>0</v>
      </c>
      <c r="CO28" s="17" t="str">
        <f ca="1">IF(OFFSET(Gemini抽出データ!$A$1,CM22,5)=0,"",OFFSET(Gemini抽出データ!$A$1,CM22,5))</f>
        <v/>
      </c>
      <c r="CP28" s="16" t="str">
        <f>CM28</f>
        <v>クラス197</v>
      </c>
      <c r="CQ28" s="17">
        <f ca="1">OFFSET(Gemini抽出データ!$A$1,CP22,4)</f>
        <v>0</v>
      </c>
      <c r="CR28" s="18" t="str">
        <f ca="1">IF(OFFSET(Gemini抽出データ!$A$1,CP22,5)=0,"",OFFSET(Gemini抽出データ!$A$1,CP22,5))</f>
        <v/>
      </c>
      <c r="CS28" s="16" t="str">
        <f>"クラス"&amp;CS$1</f>
        <v>クラス225</v>
      </c>
      <c r="CT28" s="17">
        <f ca="1">OFFSET(Gemini抽出データ!$A$1,CS22,4)</f>
        <v>0</v>
      </c>
      <c r="CU28" s="18" t="str">
        <f ca="1">IF(OFFSET(Gemini抽出データ!$A$1,CS22,5)=0,"",OFFSET(Gemini抽出データ!$A$1,CS22,5))</f>
        <v/>
      </c>
      <c r="CV28" s="16" t="str">
        <f>CS28</f>
        <v>クラス225</v>
      </c>
      <c r="CW28" s="17">
        <f ca="1">OFFSET(Gemini抽出データ!$A$1,CV22,4)</f>
        <v>0</v>
      </c>
      <c r="CX28" s="18" t="str">
        <f ca="1">IF(OFFSET(Gemini抽出データ!$A$1,CV22,5)=0,"",OFFSET(Gemini抽出データ!$A$1,CV22,5))</f>
        <v/>
      </c>
      <c r="CY28" s="19" t="str">
        <f>CS28</f>
        <v>クラス225</v>
      </c>
      <c r="CZ28" s="17">
        <f ca="1">OFFSET(Gemini抽出データ!$A$1,CY22,4)</f>
        <v>0</v>
      </c>
      <c r="DA28" s="17" t="str">
        <f ca="1">IF(OFFSET(Gemini抽出データ!$A$1,CY22,5)=0,"",OFFSET(Gemini抽出データ!$A$1,CY22,5))</f>
        <v/>
      </c>
      <c r="DB28" s="16" t="str">
        <f>CY28</f>
        <v>クラス225</v>
      </c>
      <c r="DC28" s="17">
        <f ca="1">OFFSET(Gemini抽出データ!$A$1,DB22,4)</f>
        <v>0</v>
      </c>
      <c r="DD28" s="18" t="str">
        <f ca="1">IF(OFFSET(Gemini抽出データ!$A$1,DB22,5)=0,"",OFFSET(Gemini抽出データ!$A$1,DB22,5))</f>
        <v/>
      </c>
      <c r="DE28" s="16" t="str">
        <f>"クラス"&amp;DE$1</f>
        <v>クラス253</v>
      </c>
      <c r="DF28" s="17">
        <f ca="1">OFFSET(Gemini抽出データ!$A$1,DE22,4)</f>
        <v>0</v>
      </c>
      <c r="DG28" s="18" t="str">
        <f ca="1">IF(OFFSET(Gemini抽出データ!$A$1,DE22,5)=0,"",OFFSET(Gemini抽出データ!$A$1,DE22,5))</f>
        <v/>
      </c>
      <c r="DH28" s="16" t="str">
        <f>DE28</f>
        <v>クラス253</v>
      </c>
      <c r="DI28" s="17">
        <f ca="1">OFFSET(Gemini抽出データ!$A$1,DH22,4)</f>
        <v>0</v>
      </c>
      <c r="DJ28" s="18" t="str">
        <f ca="1">IF(OFFSET(Gemini抽出データ!$A$1,DH22,5)=0,"",OFFSET(Gemini抽出データ!$A$1,DH22,5))</f>
        <v/>
      </c>
      <c r="DK28" s="19" t="str">
        <f>DE28</f>
        <v>クラス253</v>
      </c>
      <c r="DL28" s="17">
        <f ca="1">OFFSET(Gemini抽出データ!$A$1,DK22,4)</f>
        <v>0</v>
      </c>
      <c r="DM28" s="17" t="str">
        <f ca="1">IF(OFFSET(Gemini抽出データ!$A$1,DK22,5)=0,"",OFFSET(Gemini抽出データ!$A$1,DK22,5))</f>
        <v/>
      </c>
      <c r="DN28" s="16" t="str">
        <f>DK28</f>
        <v>クラス253</v>
      </c>
      <c r="DO28" s="17">
        <f ca="1">OFFSET(Gemini抽出データ!$A$1,DN22,4)</f>
        <v>0</v>
      </c>
      <c r="DP28" s="18" t="str">
        <f ca="1">IF(OFFSET(Gemini抽出データ!$A$1,DN22,5)=0,"",OFFSET(Gemini抽出データ!$A$1,DN22,5))</f>
        <v/>
      </c>
      <c r="DQ28" s="16" t="str">
        <f>"クラス"&amp;DQ$1</f>
        <v>クラス281</v>
      </c>
      <c r="DR28" s="17">
        <f ca="1">OFFSET(Gemini抽出データ!$A$1,DQ22,4)</f>
        <v>0</v>
      </c>
      <c r="DS28" s="18" t="str">
        <f ca="1">IF(OFFSET(Gemini抽出データ!$A$1,DQ22,5)=0,"",OFFSET(Gemini抽出データ!$A$1,DQ22,5))</f>
        <v/>
      </c>
      <c r="DT28" s="16" t="str">
        <f>DQ28</f>
        <v>クラス281</v>
      </c>
      <c r="DU28" s="17">
        <f ca="1">OFFSET(Gemini抽出データ!$A$1,DT22,4)</f>
        <v>0</v>
      </c>
      <c r="DV28" s="18" t="str">
        <f ca="1">IF(OFFSET(Gemini抽出データ!$A$1,DT22,5)=0,"",OFFSET(Gemini抽出データ!$A$1,DT22,5))</f>
        <v/>
      </c>
      <c r="DW28" s="19" t="str">
        <f>DQ28</f>
        <v>クラス281</v>
      </c>
      <c r="DX28" s="17">
        <f ca="1">OFFSET(Gemini抽出データ!$A$1,DW22,4)</f>
        <v>0</v>
      </c>
      <c r="DY28" s="17" t="str">
        <f ca="1">IF(OFFSET(Gemini抽出データ!$A$1,DW22,5)=0,"",OFFSET(Gemini抽出データ!$A$1,DW22,5))</f>
        <v/>
      </c>
      <c r="DZ28" s="16" t="str">
        <f>DW28</f>
        <v>クラス281</v>
      </c>
      <c r="EA28" s="17">
        <f ca="1">OFFSET(Gemini抽出データ!$A$1,DZ22,4)</f>
        <v>0</v>
      </c>
      <c r="EB28" s="18" t="str">
        <f ca="1">IF(OFFSET(Gemini抽出データ!$A$1,DZ22,5)=0,"",OFFSET(Gemini抽出データ!$A$1,DZ22,5))</f>
        <v/>
      </c>
      <c r="EC28" s="16" t="str">
        <f>"クラス"&amp;EC$1</f>
        <v>クラス309</v>
      </c>
      <c r="ED28" s="17">
        <f ca="1">OFFSET(Gemini抽出データ!$A$1,EC22,4)</f>
        <v>0</v>
      </c>
      <c r="EE28" s="18" t="str">
        <f ca="1">IF(OFFSET(Gemini抽出データ!$A$1,EC22,5)=0,"",OFFSET(Gemini抽出データ!$A$1,EC22,5))</f>
        <v/>
      </c>
      <c r="EF28" s="16" t="str">
        <f>EC28</f>
        <v>クラス309</v>
      </c>
      <c r="EG28" s="17">
        <f ca="1">OFFSET(Gemini抽出データ!$A$1,EF22,4)</f>
        <v>0</v>
      </c>
      <c r="EH28" s="18" t="str">
        <f ca="1">IF(OFFSET(Gemini抽出データ!$A$1,EF22,5)=0,"",OFFSET(Gemini抽出データ!$A$1,EF22,5))</f>
        <v/>
      </c>
      <c r="EI28" s="19" t="str">
        <f>EC28</f>
        <v>クラス309</v>
      </c>
      <c r="EJ28" s="17">
        <f ca="1">OFFSET(Gemini抽出データ!$A$1,EI22,4)</f>
        <v>0</v>
      </c>
      <c r="EK28" s="17" t="str">
        <f ca="1">IF(OFFSET(Gemini抽出データ!$A$1,EI22,5)=0,"",OFFSET(Gemini抽出データ!$A$1,EI22,5))</f>
        <v/>
      </c>
      <c r="EL28" s="16" t="str">
        <f>EI28</f>
        <v>クラス309</v>
      </c>
      <c r="EM28" s="17">
        <f ca="1">OFFSET(Gemini抽出データ!$A$1,EL22,4)</f>
        <v>0</v>
      </c>
      <c r="EN28" s="18" t="str">
        <f ca="1">IF(OFFSET(Gemini抽出データ!$A$1,EL22,5)=0,"",OFFSET(Gemini抽出データ!$A$1,EL22,5))</f>
        <v/>
      </c>
      <c r="EO28" s="16" t="str">
        <f>"クラス"&amp;EO$1</f>
        <v>クラス337</v>
      </c>
      <c r="EP28" s="17">
        <f ca="1">OFFSET(Gemini抽出データ!$A$1,EO22,4)</f>
        <v>0</v>
      </c>
      <c r="EQ28" s="18" t="str">
        <f ca="1">IF(OFFSET(Gemini抽出データ!$A$1,EO22,5)=0,"",OFFSET(Gemini抽出データ!$A$1,EO22,5))</f>
        <v/>
      </c>
      <c r="ER28" s="16" t="str">
        <f>EO28</f>
        <v>クラス337</v>
      </c>
      <c r="ES28" s="17">
        <f ca="1">OFFSET(Gemini抽出データ!$A$1,ER22,4)</f>
        <v>0</v>
      </c>
      <c r="ET28" s="18" t="str">
        <f ca="1">IF(OFFSET(Gemini抽出データ!$A$1,ER22,5)=0,"",OFFSET(Gemini抽出データ!$A$1,ER22,5))</f>
        <v/>
      </c>
      <c r="EU28" s="19" t="str">
        <f>EO28</f>
        <v>クラス337</v>
      </c>
      <c r="EV28" s="17">
        <f ca="1">OFFSET(Gemini抽出データ!$A$1,EU22,4)</f>
        <v>0</v>
      </c>
      <c r="EW28" s="17" t="str">
        <f ca="1">IF(OFFSET(Gemini抽出データ!$A$1,EU22,5)=0,"",OFFSET(Gemini抽出データ!$A$1,EU22,5))</f>
        <v/>
      </c>
      <c r="EX28" s="16" t="str">
        <f>EU28</f>
        <v>クラス337</v>
      </c>
      <c r="EY28" s="17">
        <f ca="1">OFFSET(Gemini抽出データ!$A$1,EX22,4)</f>
        <v>0</v>
      </c>
      <c r="EZ28" s="18" t="str">
        <f ca="1">IF(OFFSET(Gemini抽出データ!$A$1,EX22,5)=0,"",OFFSET(Gemini抽出データ!$A$1,EX22,5))</f>
        <v/>
      </c>
      <c r="FA28" s="16" t="str">
        <f>"クラス"&amp;FA$1</f>
        <v>クラス365</v>
      </c>
      <c r="FB28" s="17">
        <f ca="1">OFFSET(Gemini抽出データ!$A$1,FA22,4)</f>
        <v>0</v>
      </c>
      <c r="FC28" s="18" t="str">
        <f ca="1">IF(OFFSET(Gemini抽出データ!$A$1,FA22,5)=0,"",OFFSET(Gemini抽出データ!$A$1,FA22,5))</f>
        <v/>
      </c>
      <c r="FD28" s="16" t="str">
        <f>FA28</f>
        <v>クラス365</v>
      </c>
      <c r="FE28" s="17">
        <f ca="1">OFFSET(Gemini抽出データ!$A$1,FD22,4)</f>
        <v>0</v>
      </c>
      <c r="FF28" s="18" t="str">
        <f ca="1">IF(OFFSET(Gemini抽出データ!$A$1,FD22,5)=0,"",OFFSET(Gemini抽出データ!$A$1,FD22,5))</f>
        <v/>
      </c>
      <c r="FG28" s="19" t="str">
        <f>FA28</f>
        <v>クラス365</v>
      </c>
      <c r="FH28" s="17">
        <f ca="1">OFFSET(Gemini抽出データ!$A$1,FG22,4)</f>
        <v>0</v>
      </c>
      <c r="FI28" s="17" t="str">
        <f ca="1">IF(OFFSET(Gemini抽出データ!$A$1,FG22,5)=0,"",OFFSET(Gemini抽出データ!$A$1,FG22,5))</f>
        <v/>
      </c>
      <c r="FJ28" s="16" t="str">
        <f>FG28</f>
        <v>クラス365</v>
      </c>
      <c r="FK28" s="17">
        <f ca="1">OFFSET(Gemini抽出データ!$A$1,FJ22,4)</f>
        <v>0</v>
      </c>
      <c r="FL28" s="18" t="str">
        <f ca="1">IF(OFFSET(Gemini抽出データ!$A$1,FJ22,5)=0,"",OFFSET(Gemini抽出データ!$A$1,FJ22,5))</f>
        <v/>
      </c>
      <c r="FM28" s="16" t="str">
        <f>"クラス"&amp;FM$1</f>
        <v>クラス393</v>
      </c>
      <c r="FN28" s="17">
        <f ca="1">OFFSET(Gemini抽出データ!$A$1,FM22,4)</f>
        <v>0</v>
      </c>
      <c r="FO28" s="18" t="str">
        <f ca="1">IF(OFFSET(Gemini抽出データ!$A$1,FM22,5)=0,"",OFFSET(Gemini抽出データ!$A$1,FM22,5))</f>
        <v/>
      </c>
      <c r="FP28" s="16" t="str">
        <f>FM28</f>
        <v>クラス393</v>
      </c>
      <c r="FQ28" s="17">
        <f ca="1">OFFSET(Gemini抽出データ!$A$1,FP22,4)</f>
        <v>0</v>
      </c>
      <c r="FR28" s="18" t="str">
        <f ca="1">IF(OFFSET(Gemini抽出データ!$A$1,FP22,5)=0,"",OFFSET(Gemini抽出データ!$A$1,FP22,5))</f>
        <v/>
      </c>
      <c r="FS28" s="19" t="str">
        <f>FM28</f>
        <v>クラス393</v>
      </c>
      <c r="FT28" s="17">
        <f ca="1">OFFSET(Gemini抽出データ!$A$1,FS22,4)</f>
        <v>0</v>
      </c>
      <c r="FU28" s="17" t="str">
        <f ca="1">IF(OFFSET(Gemini抽出データ!$A$1,FS22,5)=0,"",OFFSET(Gemini抽出データ!$A$1,FS22,5))</f>
        <v/>
      </c>
      <c r="FV28" s="16" t="str">
        <f>FS28</f>
        <v>クラス393</v>
      </c>
      <c r="FW28" s="17">
        <f ca="1">OFFSET(Gemini抽出データ!$A$1,FV22,4)</f>
        <v>0</v>
      </c>
      <c r="FX28" s="18" t="str">
        <f ca="1">IF(OFFSET(Gemini抽出データ!$A$1,FV22,5)=0,"",OFFSET(Gemini抽出データ!$A$1,FV22,5))</f>
        <v/>
      </c>
      <c r="FY28" s="16" t="str">
        <f>"クラス"&amp;FY$1</f>
        <v>クラス421</v>
      </c>
      <c r="FZ28" s="17">
        <f ca="1">OFFSET(Gemini抽出データ!$A$1,FY22,4)</f>
        <v>0</v>
      </c>
      <c r="GA28" s="18" t="str">
        <f ca="1">IF(OFFSET(Gemini抽出データ!$A$1,FY22,5)=0,"",OFFSET(Gemini抽出データ!$A$1,FY22,5))</f>
        <v/>
      </c>
      <c r="GB28" s="16" t="str">
        <f>FY28</f>
        <v>クラス421</v>
      </c>
      <c r="GC28" s="17">
        <f ca="1">OFFSET(Gemini抽出データ!$A$1,GB22,4)</f>
        <v>0</v>
      </c>
      <c r="GD28" s="18" t="str">
        <f ca="1">IF(OFFSET(Gemini抽出データ!$A$1,GB22,5)=0,"",OFFSET(Gemini抽出データ!$A$1,GB22,5))</f>
        <v/>
      </c>
      <c r="GE28" s="19" t="str">
        <f>FY28</f>
        <v>クラス421</v>
      </c>
      <c r="GF28" s="17">
        <f ca="1">OFFSET(Gemini抽出データ!$A$1,GE22,4)</f>
        <v>0</v>
      </c>
      <c r="GG28" s="17" t="str">
        <f ca="1">IF(OFFSET(Gemini抽出データ!$A$1,GE22,5)=0,"",OFFSET(Gemini抽出データ!$A$1,GE22,5))</f>
        <v/>
      </c>
      <c r="GH28" s="16" t="str">
        <f>GE28</f>
        <v>クラス421</v>
      </c>
      <c r="GI28" s="17">
        <f ca="1">OFFSET(Gemini抽出データ!$A$1,GH22,4)</f>
        <v>0</v>
      </c>
      <c r="GJ28" s="18" t="str">
        <f ca="1">IF(OFFSET(Gemini抽出データ!$A$1,GH22,5)=0,"",OFFSET(Gemini抽出データ!$A$1,GH22,5))</f>
        <v/>
      </c>
      <c r="GK28" s="16" t="str">
        <f>"クラス"&amp;GK$1</f>
        <v>クラス449</v>
      </c>
      <c r="GL28" s="17">
        <f ca="1">OFFSET(Gemini抽出データ!$A$1,GK22,4)</f>
        <v>0</v>
      </c>
      <c r="GM28" s="18" t="str">
        <f ca="1">IF(OFFSET(Gemini抽出データ!$A$1,GK22,5)=0,"",OFFSET(Gemini抽出データ!$A$1,GK22,5))</f>
        <v/>
      </c>
      <c r="GN28" s="16" t="str">
        <f>GK28</f>
        <v>クラス449</v>
      </c>
      <c r="GO28" s="17">
        <f ca="1">OFFSET(Gemini抽出データ!$A$1,GN22,4)</f>
        <v>0</v>
      </c>
      <c r="GP28" s="18" t="str">
        <f ca="1">IF(OFFSET(Gemini抽出データ!$A$1,GN22,5)=0,"",OFFSET(Gemini抽出データ!$A$1,GN22,5))</f>
        <v/>
      </c>
      <c r="GQ28" s="19" t="str">
        <f>GK28</f>
        <v>クラス449</v>
      </c>
      <c r="GR28" s="17">
        <f ca="1">OFFSET(Gemini抽出データ!$A$1,GQ22,4)</f>
        <v>0</v>
      </c>
      <c r="GS28" s="17" t="str">
        <f ca="1">IF(OFFSET(Gemini抽出データ!$A$1,GQ22,5)=0,"",OFFSET(Gemini抽出データ!$A$1,GQ22,5))</f>
        <v/>
      </c>
      <c r="GT28" s="16" t="str">
        <f>GQ28</f>
        <v>クラス449</v>
      </c>
      <c r="GU28" s="17">
        <f ca="1">OFFSET(Gemini抽出データ!$A$1,GT22,4)</f>
        <v>0</v>
      </c>
      <c r="GV28" s="18" t="str">
        <f ca="1">IF(OFFSET(Gemini抽出データ!$A$1,GT22,5)=0,"",OFFSET(Gemini抽出データ!$A$1,GT22,5))</f>
        <v/>
      </c>
      <c r="GW28" s="16" t="str">
        <f>"クラス"&amp;GW$1</f>
        <v>クラス477</v>
      </c>
      <c r="GX28" s="17">
        <f ca="1">OFFSET(Gemini抽出データ!$A$1,GW22,4)</f>
        <v>0</v>
      </c>
      <c r="GY28" s="18" t="str">
        <f ca="1">IF(OFFSET(Gemini抽出データ!$A$1,GW22,5)=0,"",OFFSET(Gemini抽出データ!$A$1,GW22,5))</f>
        <v/>
      </c>
      <c r="GZ28" s="16" t="str">
        <f>GW28</f>
        <v>クラス477</v>
      </c>
      <c r="HA28" s="17">
        <f ca="1">OFFSET(Gemini抽出データ!$A$1,GZ22,4)</f>
        <v>0</v>
      </c>
      <c r="HB28" s="18" t="str">
        <f ca="1">IF(OFFSET(Gemini抽出データ!$A$1,GZ22,5)=0,"",OFFSET(Gemini抽出データ!$A$1,GZ22,5))</f>
        <v/>
      </c>
      <c r="HC28" s="19" t="str">
        <f>GW28</f>
        <v>クラス477</v>
      </c>
      <c r="HD28" s="17">
        <f ca="1">OFFSET(Gemini抽出データ!$A$1,HC22,4)</f>
        <v>0</v>
      </c>
      <c r="HE28" s="17" t="str">
        <f ca="1">IF(OFFSET(Gemini抽出データ!$A$1,HC22,5)=0,"",OFFSET(Gemini抽出データ!$A$1,HC22,5))</f>
        <v/>
      </c>
      <c r="HF28" s="16" t="str">
        <f>HC28</f>
        <v>クラス477</v>
      </c>
      <c r="HG28" s="17">
        <f ca="1">OFFSET(Gemini抽出データ!$A$1,HF22,4)</f>
        <v>0</v>
      </c>
      <c r="HH28" s="18" t="str">
        <f ca="1">IF(OFFSET(Gemini抽出データ!$A$1,HF22,5)=0,"",OFFSET(Gemini抽出データ!$A$1,HF22,5))</f>
        <v/>
      </c>
      <c r="HI28" s="16" t="str">
        <f>"クラス"&amp;HI$1</f>
        <v>クラス505</v>
      </c>
      <c r="HJ28" s="17">
        <f ca="1">OFFSET(Gemini抽出データ!$A$1,HI22,4)</f>
        <v>0</v>
      </c>
      <c r="HK28" s="18" t="str">
        <f ca="1">IF(OFFSET(Gemini抽出データ!$A$1,HI22,5)=0,"",OFFSET(Gemini抽出データ!$A$1,HI22,5))</f>
        <v/>
      </c>
      <c r="HL28" s="16" t="str">
        <f>HI28</f>
        <v>クラス505</v>
      </c>
      <c r="HM28" s="17">
        <f ca="1">OFFSET(Gemini抽出データ!$A$1,HL22,4)</f>
        <v>0</v>
      </c>
      <c r="HN28" s="18" t="str">
        <f ca="1">IF(OFFSET(Gemini抽出データ!$A$1,HL22,5)=0,"",OFFSET(Gemini抽出データ!$A$1,HL22,5))</f>
        <v/>
      </c>
      <c r="HO28" s="19" t="str">
        <f>HI28</f>
        <v>クラス505</v>
      </c>
      <c r="HP28" s="17">
        <f ca="1">OFFSET(Gemini抽出データ!$A$1,HO22,4)</f>
        <v>0</v>
      </c>
      <c r="HQ28" s="17" t="str">
        <f ca="1">IF(OFFSET(Gemini抽出データ!$A$1,HO22,5)=0,"",OFFSET(Gemini抽出データ!$A$1,HO22,5))</f>
        <v/>
      </c>
      <c r="HR28" s="16" t="str">
        <f>HO28</f>
        <v>クラス505</v>
      </c>
      <c r="HS28" s="17">
        <f ca="1">OFFSET(Gemini抽出データ!$A$1,HR22,4)</f>
        <v>0</v>
      </c>
      <c r="HT28" s="18" t="str">
        <f ca="1">IF(OFFSET(Gemini抽出データ!$A$1,HR22,5)=0,"",OFFSET(Gemini抽出データ!$A$1,HR22,5))</f>
        <v/>
      </c>
      <c r="HU28" t="e">
        <f ca="1">OFFSET(Gemini抽出データ!$A$1,#REF!,4)</f>
        <v>#REF!</v>
      </c>
      <c r="HV28" t="e">
        <f ca="1">IF(OFFSET(Gemini抽出データ!$A$1,#REF!,5)=0,"",OFFSET(Gemini抽出データ!$A$1,#REF!,5))</f>
        <v>#REF!</v>
      </c>
    </row>
    <row r="29" spans="1:230" ht="17.100000000000001" customHeight="1" x14ac:dyDescent="0.45">
      <c r="A29" s="10">
        <f>J22+1</f>
        <v>17</v>
      </c>
      <c r="B29" s="20">
        <f ca="1">OFFSET(Gemini抽出データ!$A$1,A29,0)</f>
        <v>0</v>
      </c>
      <c r="C29" s="14"/>
      <c r="D29" s="10">
        <f>A29+1</f>
        <v>18</v>
      </c>
      <c r="E29" s="20">
        <f ca="1">OFFSET(Gemini抽出データ!$A$1,D29,0)</f>
        <v>0</v>
      </c>
      <c r="F29" s="15"/>
      <c r="G29" s="13">
        <f>D29+1</f>
        <v>19</v>
      </c>
      <c r="H29" s="20">
        <f ca="1">OFFSET(Gemini抽出データ!$A$1,G29,0)</f>
        <v>0</v>
      </c>
      <c r="I29" s="14"/>
      <c r="J29" s="10">
        <f>G29+1</f>
        <v>20</v>
      </c>
      <c r="K29" s="20">
        <f ca="1">OFFSET(Gemini抽出データ!$A$1,J29,0)</f>
        <v>0</v>
      </c>
      <c r="L29" s="15"/>
      <c r="M29" s="10">
        <f>V22+1</f>
        <v>45</v>
      </c>
      <c r="N29" s="20">
        <f ca="1">OFFSET(Gemini抽出データ!$A$1,M29,0)</f>
        <v>0</v>
      </c>
      <c r="O29" s="14"/>
      <c r="P29" s="10">
        <f>M29+1</f>
        <v>46</v>
      </c>
      <c r="Q29" s="20">
        <f ca="1">OFFSET(Gemini抽出データ!$A$1,P29,0)</f>
        <v>0</v>
      </c>
      <c r="R29" s="15"/>
      <c r="S29" s="13">
        <f>P29+1</f>
        <v>47</v>
      </c>
      <c r="T29" s="20">
        <f ca="1">OFFSET(Gemini抽出データ!$A$1,S29,0)</f>
        <v>0</v>
      </c>
      <c r="U29" s="14"/>
      <c r="V29" s="10">
        <f>S29+1</f>
        <v>48</v>
      </c>
      <c r="W29" s="20">
        <f ca="1">OFFSET(Gemini抽出データ!$A$1,V29,0)</f>
        <v>0</v>
      </c>
      <c r="X29" s="15"/>
      <c r="Y29" s="10">
        <f>AH22+1</f>
        <v>73</v>
      </c>
      <c r="Z29" s="20">
        <f ca="1">OFFSET(Gemini抽出データ!$A$1,Y29,0)</f>
        <v>0</v>
      </c>
      <c r="AA29" s="14"/>
      <c r="AB29" s="10">
        <f>Y29+1</f>
        <v>74</v>
      </c>
      <c r="AC29" s="20">
        <f ca="1">OFFSET(Gemini抽出データ!$A$1,AB29,0)</f>
        <v>0</v>
      </c>
      <c r="AD29" s="15"/>
      <c r="AE29" s="13">
        <f>AB29+1</f>
        <v>75</v>
      </c>
      <c r="AF29" s="20">
        <f ca="1">OFFSET(Gemini抽出データ!$A$1,AE29,0)</f>
        <v>0</v>
      </c>
      <c r="AG29" s="14"/>
      <c r="AH29" s="10">
        <f>AE29+1</f>
        <v>76</v>
      </c>
      <c r="AI29" s="20">
        <f ca="1">OFFSET(Gemini抽出データ!$A$1,AH29,0)</f>
        <v>0</v>
      </c>
      <c r="AJ29" s="15"/>
      <c r="AK29" s="10">
        <f>AT22+1</f>
        <v>101</v>
      </c>
      <c r="AL29" s="20">
        <f ca="1">OFFSET(Gemini抽出データ!$A$1,AK29,0)</f>
        <v>0</v>
      </c>
      <c r="AM29" s="14"/>
      <c r="AN29" s="10">
        <f>AK29+1</f>
        <v>102</v>
      </c>
      <c r="AO29" s="20">
        <f ca="1">OFFSET(Gemini抽出データ!$A$1,AN29,0)</f>
        <v>0</v>
      </c>
      <c r="AP29" s="15"/>
      <c r="AQ29" s="13">
        <f>AN29+1</f>
        <v>103</v>
      </c>
      <c r="AR29" s="20">
        <f ca="1">OFFSET(Gemini抽出データ!$A$1,AQ29,0)</f>
        <v>0</v>
      </c>
      <c r="AS29" s="14"/>
      <c r="AT29" s="10">
        <f>AQ29+1</f>
        <v>104</v>
      </c>
      <c r="AU29" s="20">
        <f ca="1">OFFSET(Gemini抽出データ!$A$1,AT29,0)</f>
        <v>0</v>
      </c>
      <c r="AV29" s="15"/>
      <c r="AW29" s="10">
        <f>BF22+1</f>
        <v>129</v>
      </c>
      <c r="AX29" s="20">
        <f ca="1">OFFSET(Gemini抽出データ!$A$1,AW29,0)</f>
        <v>0</v>
      </c>
      <c r="AY29" s="14"/>
      <c r="AZ29" s="10">
        <f>AW29+1</f>
        <v>130</v>
      </c>
      <c r="BA29" s="20">
        <f ca="1">OFFSET(Gemini抽出データ!$A$1,AZ29,0)</f>
        <v>0</v>
      </c>
      <c r="BB29" s="15"/>
      <c r="BC29" s="13">
        <f>AZ29+1</f>
        <v>131</v>
      </c>
      <c r="BD29" s="20">
        <f ca="1">OFFSET(Gemini抽出データ!$A$1,BC29,0)</f>
        <v>0</v>
      </c>
      <c r="BE29" s="14"/>
      <c r="BF29" s="10">
        <f>BC29+1</f>
        <v>132</v>
      </c>
      <c r="BG29" s="20">
        <f ca="1">OFFSET(Gemini抽出データ!$A$1,BF29,0)</f>
        <v>0</v>
      </c>
      <c r="BH29" s="15"/>
      <c r="BI29" s="10">
        <f>BR22+1</f>
        <v>157</v>
      </c>
      <c r="BJ29" s="20">
        <f ca="1">OFFSET(Gemini抽出データ!$A$1,BI29,0)</f>
        <v>0</v>
      </c>
      <c r="BK29" s="14"/>
      <c r="BL29" s="10">
        <f>BI29+1</f>
        <v>158</v>
      </c>
      <c r="BM29" s="20">
        <f ca="1">OFFSET(Gemini抽出データ!$A$1,BL29,0)</f>
        <v>0</v>
      </c>
      <c r="BN29" s="15"/>
      <c r="BO29" s="13">
        <f>BL29+1</f>
        <v>159</v>
      </c>
      <c r="BP29" s="20">
        <f ca="1">OFFSET(Gemini抽出データ!$A$1,BO29,0)</f>
        <v>0</v>
      </c>
      <c r="BQ29" s="14"/>
      <c r="BR29" s="10">
        <f>BO29+1</f>
        <v>160</v>
      </c>
      <c r="BS29" s="20">
        <f ca="1">OFFSET(Gemini抽出データ!$A$1,BR29,0)</f>
        <v>0</v>
      </c>
      <c r="BT29" s="15"/>
      <c r="BU29" s="10">
        <f>CD22+1</f>
        <v>185</v>
      </c>
      <c r="BV29" s="20">
        <f ca="1">OFFSET(Gemini抽出データ!$A$1,BU29,0)</f>
        <v>0</v>
      </c>
      <c r="BW29" s="14"/>
      <c r="BX29" s="10">
        <f>BU29+1</f>
        <v>186</v>
      </c>
      <c r="BY29" s="20">
        <f ca="1">OFFSET(Gemini抽出データ!$A$1,BX29,0)</f>
        <v>0</v>
      </c>
      <c r="BZ29" s="15"/>
      <c r="CA29" s="13">
        <f>BX29+1</f>
        <v>187</v>
      </c>
      <c r="CB29" s="20">
        <f ca="1">OFFSET(Gemini抽出データ!$A$1,CA29,0)</f>
        <v>0</v>
      </c>
      <c r="CC29" s="14"/>
      <c r="CD29" s="10">
        <f>CA29+1</f>
        <v>188</v>
      </c>
      <c r="CE29" s="20">
        <f ca="1">OFFSET(Gemini抽出データ!$A$1,CD29,0)</f>
        <v>0</v>
      </c>
      <c r="CF29" s="15"/>
      <c r="CG29" s="10">
        <f>CP22+1</f>
        <v>213</v>
      </c>
      <c r="CH29" s="20">
        <f ca="1">OFFSET(Gemini抽出データ!$A$1,CG29,0)</f>
        <v>0</v>
      </c>
      <c r="CI29" s="14"/>
      <c r="CJ29" s="10">
        <f>CG29+1</f>
        <v>214</v>
      </c>
      <c r="CK29" s="20">
        <f ca="1">OFFSET(Gemini抽出データ!$A$1,CJ29,0)</f>
        <v>0</v>
      </c>
      <c r="CL29" s="15"/>
      <c r="CM29" s="13">
        <f>CJ29+1</f>
        <v>215</v>
      </c>
      <c r="CN29" s="20">
        <f ca="1">OFFSET(Gemini抽出データ!$A$1,CM29,0)</f>
        <v>0</v>
      </c>
      <c r="CO29" s="14"/>
      <c r="CP29" s="10">
        <f>CM29+1</f>
        <v>216</v>
      </c>
      <c r="CQ29" s="20">
        <f ca="1">OFFSET(Gemini抽出データ!$A$1,CP29,0)</f>
        <v>0</v>
      </c>
      <c r="CR29" s="15"/>
      <c r="CS29" s="10">
        <f>DB22+1</f>
        <v>241</v>
      </c>
      <c r="CT29" s="20">
        <f ca="1">OFFSET(Gemini抽出データ!$A$1,CS29,0)</f>
        <v>0</v>
      </c>
      <c r="CU29" s="14"/>
      <c r="CV29" s="10">
        <f>CS29+1</f>
        <v>242</v>
      </c>
      <c r="CW29" s="20">
        <f ca="1">OFFSET(Gemini抽出データ!$A$1,CV29,0)</f>
        <v>0</v>
      </c>
      <c r="CX29" s="15"/>
      <c r="CY29" s="13">
        <f>CV29+1</f>
        <v>243</v>
      </c>
      <c r="CZ29" s="20">
        <f ca="1">OFFSET(Gemini抽出データ!$A$1,CY29,0)</f>
        <v>0</v>
      </c>
      <c r="DA29" s="14"/>
      <c r="DB29" s="10">
        <f>CY29+1</f>
        <v>244</v>
      </c>
      <c r="DC29" s="20">
        <f ca="1">OFFSET(Gemini抽出データ!$A$1,DB29,0)</f>
        <v>0</v>
      </c>
      <c r="DD29" s="15"/>
      <c r="DE29" s="10">
        <f>DN22+1</f>
        <v>269</v>
      </c>
      <c r="DF29" s="20">
        <f ca="1">OFFSET(Gemini抽出データ!$A$1,DE29,0)</f>
        <v>0</v>
      </c>
      <c r="DG29" s="14"/>
      <c r="DH29" s="10">
        <f>DE29+1</f>
        <v>270</v>
      </c>
      <c r="DI29" s="20">
        <f ca="1">OFFSET(Gemini抽出データ!$A$1,DH29,0)</f>
        <v>0</v>
      </c>
      <c r="DJ29" s="15"/>
      <c r="DK29" s="13">
        <f>DH29+1</f>
        <v>271</v>
      </c>
      <c r="DL29" s="20">
        <f ca="1">OFFSET(Gemini抽出データ!$A$1,DK29,0)</f>
        <v>0</v>
      </c>
      <c r="DM29" s="14"/>
      <c r="DN29" s="10">
        <f>DK29+1</f>
        <v>272</v>
      </c>
      <c r="DO29" s="20">
        <f ca="1">OFFSET(Gemini抽出データ!$A$1,DN29,0)</f>
        <v>0</v>
      </c>
      <c r="DP29" s="15"/>
      <c r="DQ29" s="10">
        <f>DZ22+1</f>
        <v>297</v>
      </c>
      <c r="DR29" s="20">
        <f ca="1">OFFSET(Gemini抽出データ!$A$1,DQ29,0)</f>
        <v>0</v>
      </c>
      <c r="DS29" s="14"/>
      <c r="DT29" s="10">
        <f>DQ29+1</f>
        <v>298</v>
      </c>
      <c r="DU29" s="20">
        <f ca="1">OFFSET(Gemini抽出データ!$A$1,DT29,0)</f>
        <v>0</v>
      </c>
      <c r="DV29" s="15"/>
      <c r="DW29" s="13">
        <f>DT29+1</f>
        <v>299</v>
      </c>
      <c r="DX29" s="20">
        <f ca="1">OFFSET(Gemini抽出データ!$A$1,DW29,0)</f>
        <v>0</v>
      </c>
      <c r="DY29" s="14"/>
      <c r="DZ29" s="10">
        <f>DW29+1</f>
        <v>300</v>
      </c>
      <c r="EA29" s="20">
        <f ca="1">OFFSET(Gemini抽出データ!$A$1,DZ29,0)</f>
        <v>0</v>
      </c>
      <c r="EB29" s="15"/>
      <c r="EC29" s="10">
        <f>EL22+1</f>
        <v>325</v>
      </c>
      <c r="ED29" s="20">
        <f ca="1">OFFSET(Gemini抽出データ!$A$1,EC29,0)</f>
        <v>0</v>
      </c>
      <c r="EE29" s="14"/>
      <c r="EF29" s="10">
        <f>EC29+1</f>
        <v>326</v>
      </c>
      <c r="EG29" s="20">
        <f ca="1">OFFSET(Gemini抽出データ!$A$1,EF29,0)</f>
        <v>0</v>
      </c>
      <c r="EH29" s="15"/>
      <c r="EI29" s="13">
        <f>EF29+1</f>
        <v>327</v>
      </c>
      <c r="EJ29" s="20">
        <f ca="1">OFFSET(Gemini抽出データ!$A$1,EI29,0)</f>
        <v>0</v>
      </c>
      <c r="EK29" s="14"/>
      <c r="EL29" s="10">
        <f>EI29+1</f>
        <v>328</v>
      </c>
      <c r="EM29" s="20">
        <f ca="1">OFFSET(Gemini抽出データ!$A$1,EL29,0)</f>
        <v>0</v>
      </c>
      <c r="EN29" s="15"/>
      <c r="EO29" s="10">
        <f>EX22+1</f>
        <v>353</v>
      </c>
      <c r="EP29" s="20">
        <f ca="1">OFFSET(Gemini抽出データ!$A$1,EO29,0)</f>
        <v>0</v>
      </c>
      <c r="EQ29" s="14"/>
      <c r="ER29" s="10">
        <f>EO29+1</f>
        <v>354</v>
      </c>
      <c r="ES29" s="20">
        <f ca="1">OFFSET(Gemini抽出データ!$A$1,ER29,0)</f>
        <v>0</v>
      </c>
      <c r="ET29" s="15"/>
      <c r="EU29" s="13">
        <f>ER29+1</f>
        <v>355</v>
      </c>
      <c r="EV29" s="20">
        <f ca="1">OFFSET(Gemini抽出データ!$A$1,EU29,0)</f>
        <v>0</v>
      </c>
      <c r="EW29" s="14"/>
      <c r="EX29" s="10">
        <f>EU29+1</f>
        <v>356</v>
      </c>
      <c r="EY29" s="20">
        <f ca="1">OFFSET(Gemini抽出データ!$A$1,EX29,0)</f>
        <v>0</v>
      </c>
      <c r="EZ29" s="15"/>
      <c r="FA29" s="10">
        <f>FJ22+1</f>
        <v>381</v>
      </c>
      <c r="FB29" s="20">
        <f ca="1">OFFSET(Gemini抽出データ!$A$1,FA29,0)</f>
        <v>0</v>
      </c>
      <c r="FC29" s="14"/>
      <c r="FD29" s="10">
        <f>FA29+1</f>
        <v>382</v>
      </c>
      <c r="FE29" s="20">
        <f ca="1">OFFSET(Gemini抽出データ!$A$1,FD29,0)</f>
        <v>0</v>
      </c>
      <c r="FF29" s="15"/>
      <c r="FG29" s="13">
        <f>FD29+1</f>
        <v>383</v>
      </c>
      <c r="FH29" s="20">
        <f ca="1">OFFSET(Gemini抽出データ!$A$1,FG29,0)</f>
        <v>0</v>
      </c>
      <c r="FI29" s="14"/>
      <c r="FJ29" s="10">
        <f>FG29+1</f>
        <v>384</v>
      </c>
      <c r="FK29" s="20">
        <f ca="1">OFFSET(Gemini抽出データ!$A$1,FJ29,0)</f>
        <v>0</v>
      </c>
      <c r="FL29" s="15"/>
      <c r="FM29" s="10">
        <f>FV22+1</f>
        <v>409</v>
      </c>
      <c r="FN29" s="20">
        <f ca="1">OFFSET(Gemini抽出データ!$A$1,FM29,0)</f>
        <v>0</v>
      </c>
      <c r="FO29" s="14"/>
      <c r="FP29" s="10">
        <f>FM29+1</f>
        <v>410</v>
      </c>
      <c r="FQ29" s="20">
        <f ca="1">OFFSET(Gemini抽出データ!$A$1,FP29,0)</f>
        <v>0</v>
      </c>
      <c r="FR29" s="15"/>
      <c r="FS29" s="13">
        <f>FP29+1</f>
        <v>411</v>
      </c>
      <c r="FT29" s="20">
        <f ca="1">OFFSET(Gemini抽出データ!$A$1,FS29,0)</f>
        <v>0</v>
      </c>
      <c r="FU29" s="14"/>
      <c r="FV29" s="10">
        <f>FS29+1</f>
        <v>412</v>
      </c>
      <c r="FW29" s="20">
        <f ca="1">OFFSET(Gemini抽出データ!$A$1,FV29,0)</f>
        <v>0</v>
      </c>
      <c r="FX29" s="15"/>
      <c r="FY29" s="10">
        <f>GH22+1</f>
        <v>437</v>
      </c>
      <c r="FZ29" s="20">
        <f ca="1">OFFSET(Gemini抽出データ!$A$1,FY29,0)</f>
        <v>0</v>
      </c>
      <c r="GA29" s="14"/>
      <c r="GB29" s="10">
        <f>FY29+1</f>
        <v>438</v>
      </c>
      <c r="GC29" s="20">
        <f ca="1">OFFSET(Gemini抽出データ!$A$1,GB29,0)</f>
        <v>0</v>
      </c>
      <c r="GD29" s="15"/>
      <c r="GE29" s="13">
        <f>GB29+1</f>
        <v>439</v>
      </c>
      <c r="GF29" s="20">
        <f ca="1">OFFSET(Gemini抽出データ!$A$1,GE29,0)</f>
        <v>0</v>
      </c>
      <c r="GG29" s="14"/>
      <c r="GH29" s="10">
        <f>GE29+1</f>
        <v>440</v>
      </c>
      <c r="GI29" s="20">
        <f ca="1">OFFSET(Gemini抽出データ!$A$1,GH29,0)</f>
        <v>0</v>
      </c>
      <c r="GJ29" s="15"/>
      <c r="GK29" s="10">
        <f>GT22+1</f>
        <v>465</v>
      </c>
      <c r="GL29" s="20">
        <f ca="1">OFFSET(Gemini抽出データ!$A$1,GK29,0)</f>
        <v>0</v>
      </c>
      <c r="GM29" s="14"/>
      <c r="GN29" s="10">
        <f>GK29+1</f>
        <v>466</v>
      </c>
      <c r="GO29" s="20">
        <f ca="1">OFFSET(Gemini抽出データ!$A$1,GN29,0)</f>
        <v>0</v>
      </c>
      <c r="GP29" s="15"/>
      <c r="GQ29" s="13">
        <f>GN29+1</f>
        <v>467</v>
      </c>
      <c r="GR29" s="20">
        <f ca="1">OFFSET(Gemini抽出データ!$A$1,GQ29,0)</f>
        <v>0</v>
      </c>
      <c r="GS29" s="14"/>
      <c r="GT29" s="10">
        <f>GQ29+1</f>
        <v>468</v>
      </c>
      <c r="GU29" s="20">
        <f ca="1">OFFSET(Gemini抽出データ!$A$1,GT29,0)</f>
        <v>0</v>
      </c>
      <c r="GV29" s="15"/>
      <c r="GW29" s="10">
        <f>HF22+1</f>
        <v>493</v>
      </c>
      <c r="GX29" s="20">
        <f ca="1">OFFSET(Gemini抽出データ!$A$1,GW29,0)</f>
        <v>0</v>
      </c>
      <c r="GY29" s="14"/>
      <c r="GZ29" s="10">
        <f>GW29+1</f>
        <v>494</v>
      </c>
      <c r="HA29" s="20">
        <f ca="1">OFFSET(Gemini抽出データ!$A$1,GZ29,0)</f>
        <v>0</v>
      </c>
      <c r="HB29" s="15"/>
      <c r="HC29" s="13">
        <f>GZ29+1</f>
        <v>495</v>
      </c>
      <c r="HD29" s="20">
        <f ca="1">OFFSET(Gemini抽出データ!$A$1,HC29,0)</f>
        <v>0</v>
      </c>
      <c r="HE29" s="14"/>
      <c r="HF29" s="10">
        <f>HC29+1</f>
        <v>496</v>
      </c>
      <c r="HG29" s="20">
        <f ca="1">OFFSET(Gemini抽出データ!$A$1,HF29,0)</f>
        <v>0</v>
      </c>
      <c r="HH29" s="15"/>
      <c r="HI29" s="10">
        <f>HR22+1</f>
        <v>521</v>
      </c>
      <c r="HJ29" s="20">
        <f ca="1">OFFSET(Gemini抽出データ!$A$1,HI29,0)</f>
        <v>0</v>
      </c>
      <c r="HK29" s="14"/>
      <c r="HL29" s="10">
        <f>HI29+1</f>
        <v>522</v>
      </c>
      <c r="HM29" s="20">
        <f ca="1">OFFSET(Gemini抽出データ!$A$1,HL29,0)</f>
        <v>0</v>
      </c>
      <c r="HN29" s="15"/>
      <c r="HO29" s="13">
        <f>HL29+1</f>
        <v>523</v>
      </c>
      <c r="HP29" s="20">
        <f ca="1">OFFSET(Gemini抽出データ!$A$1,HO29,0)</f>
        <v>0</v>
      </c>
      <c r="HQ29" s="14"/>
      <c r="HR29" s="10">
        <f>HO29+1</f>
        <v>524</v>
      </c>
      <c r="HS29" s="20">
        <f ca="1">OFFSET(Gemini抽出データ!$A$1,HR29,0)</f>
        <v>0</v>
      </c>
      <c r="HT29" s="15"/>
      <c r="HU29" s="4" t="e">
        <f ca="1">OFFSET(Gemini抽出データ!$A$1,#REF!,0)</f>
        <v>#REF!</v>
      </c>
      <c r="HV29" s="3"/>
    </row>
    <row r="30" spans="1:230" ht="17.100000000000001" customHeight="1" x14ac:dyDescent="0.45">
      <c r="A30" s="10" t="str">
        <f>"クライアント名"&amp;A$1</f>
        <v>クライアント名1</v>
      </c>
      <c r="B30" s="11">
        <f ca="1">OFFSET(Gemini抽出データ!$A$1,A29,2)</f>
        <v>0</v>
      </c>
      <c r="C30" s="11"/>
      <c r="D30" s="10" t="str">
        <f>"クライアント名"&amp;D$1</f>
        <v>クライアント名2</v>
      </c>
      <c r="E30" s="11">
        <f ca="1">OFFSET(Gemini抽出データ!$A$1,D29,2)</f>
        <v>0</v>
      </c>
      <c r="F30" s="12"/>
      <c r="G30" s="13" t="str">
        <f>"クライアント名"&amp;G$1</f>
        <v>クライアント名3</v>
      </c>
      <c r="H30" s="11">
        <f ca="1">OFFSET(Gemini抽出データ!$A$1,G29,2)</f>
        <v>0</v>
      </c>
      <c r="I30" s="11"/>
      <c r="J30" s="10" t="str">
        <f>"クライアント名"&amp;J$1</f>
        <v>クライアント名4</v>
      </c>
      <c r="K30" s="11">
        <f ca="1">OFFSET(Gemini抽出データ!$A$1,J29,2)</f>
        <v>0</v>
      </c>
      <c r="L30" s="12"/>
      <c r="M30" s="10" t="str">
        <f>"クライアント名"&amp;M$1</f>
        <v>クライアント名29</v>
      </c>
      <c r="N30" s="11">
        <f ca="1">OFFSET(Gemini抽出データ!$A$1,M29,2)</f>
        <v>0</v>
      </c>
      <c r="O30" s="11"/>
      <c r="P30" s="10" t="str">
        <f>"クライアント名"&amp;P$1</f>
        <v>クライアント名30</v>
      </c>
      <c r="Q30" s="11">
        <f ca="1">OFFSET(Gemini抽出データ!$A$1,P29,2)</f>
        <v>0</v>
      </c>
      <c r="R30" s="12"/>
      <c r="S30" s="13" t="str">
        <f>"クライアント名"&amp;S$1</f>
        <v>クライアント名31</v>
      </c>
      <c r="T30" s="11">
        <f ca="1">OFFSET(Gemini抽出データ!$A$1,S29,2)</f>
        <v>0</v>
      </c>
      <c r="U30" s="11"/>
      <c r="V30" s="10" t="str">
        <f>"クライアント名"&amp;V$1</f>
        <v>クライアント名32</v>
      </c>
      <c r="W30" s="11">
        <f ca="1">OFFSET(Gemini抽出データ!$A$1,V29,2)</f>
        <v>0</v>
      </c>
      <c r="X30" s="12"/>
      <c r="Y30" s="10" t="str">
        <f>"クライアント名"&amp;Y$1</f>
        <v>クライアント名57</v>
      </c>
      <c r="Z30" s="11">
        <f ca="1">OFFSET(Gemini抽出データ!$A$1,Y29,2)</f>
        <v>0</v>
      </c>
      <c r="AA30" s="11"/>
      <c r="AB30" s="10" t="str">
        <f>"クライアント名"&amp;AB$1</f>
        <v>クライアント名58</v>
      </c>
      <c r="AC30" s="11">
        <f ca="1">OFFSET(Gemini抽出データ!$A$1,AB29,2)</f>
        <v>0</v>
      </c>
      <c r="AD30" s="12"/>
      <c r="AE30" s="13" t="str">
        <f>"クライアント名"&amp;AE$1</f>
        <v>クライアント名59</v>
      </c>
      <c r="AF30" s="11">
        <f ca="1">OFFSET(Gemini抽出データ!$A$1,AE29,2)</f>
        <v>0</v>
      </c>
      <c r="AG30" s="11"/>
      <c r="AH30" s="10" t="str">
        <f>"クライアント名"&amp;AH$1</f>
        <v>クライアント名60</v>
      </c>
      <c r="AI30" s="11">
        <f ca="1">OFFSET(Gemini抽出データ!$A$1,AH29,2)</f>
        <v>0</v>
      </c>
      <c r="AJ30" s="12"/>
      <c r="AK30" s="10" t="str">
        <f>"クライアント名"&amp;AK$1</f>
        <v>クライアント名85</v>
      </c>
      <c r="AL30" s="11">
        <f ca="1">OFFSET(Gemini抽出データ!$A$1,AK29,2)</f>
        <v>0</v>
      </c>
      <c r="AM30" s="11"/>
      <c r="AN30" s="10" t="str">
        <f>"クライアント名"&amp;AN$1</f>
        <v>クライアント名86</v>
      </c>
      <c r="AO30" s="11">
        <f ca="1">OFFSET(Gemini抽出データ!$A$1,AN29,2)</f>
        <v>0</v>
      </c>
      <c r="AP30" s="12"/>
      <c r="AQ30" s="13" t="str">
        <f>"クライアント名"&amp;AQ$1</f>
        <v>クライアント名87</v>
      </c>
      <c r="AR30" s="11">
        <f ca="1">OFFSET(Gemini抽出データ!$A$1,AQ29,2)</f>
        <v>0</v>
      </c>
      <c r="AS30" s="11"/>
      <c r="AT30" s="10" t="str">
        <f>"クライアント名"&amp;AT$1</f>
        <v>クライアント名88</v>
      </c>
      <c r="AU30" s="11">
        <f ca="1">OFFSET(Gemini抽出データ!$A$1,AT29,2)</f>
        <v>0</v>
      </c>
      <c r="AV30" s="12"/>
      <c r="AW30" s="10" t="str">
        <f>"クライアント名"&amp;AW$1</f>
        <v>クライアント名113</v>
      </c>
      <c r="AX30" s="11">
        <f ca="1">OFFSET(Gemini抽出データ!$A$1,AW29,2)</f>
        <v>0</v>
      </c>
      <c r="AY30" s="11"/>
      <c r="AZ30" s="10" t="str">
        <f>"クライアント名"&amp;AZ$1</f>
        <v>クライアント名114</v>
      </c>
      <c r="BA30" s="11">
        <f ca="1">OFFSET(Gemini抽出データ!$A$1,AZ29,2)</f>
        <v>0</v>
      </c>
      <c r="BB30" s="12"/>
      <c r="BC30" s="13" t="str">
        <f>"クライアント名"&amp;BC$1</f>
        <v>クライアント名115</v>
      </c>
      <c r="BD30" s="11">
        <f ca="1">OFFSET(Gemini抽出データ!$A$1,BC29,2)</f>
        <v>0</v>
      </c>
      <c r="BE30" s="11"/>
      <c r="BF30" s="10" t="str">
        <f>"クライアント名"&amp;BF$1</f>
        <v>クライアント名116</v>
      </c>
      <c r="BG30" s="11">
        <f ca="1">OFFSET(Gemini抽出データ!$A$1,BF29,2)</f>
        <v>0</v>
      </c>
      <c r="BH30" s="12"/>
      <c r="BI30" s="10" t="str">
        <f>"クライアント名"&amp;BI$1</f>
        <v>クライアント名141</v>
      </c>
      <c r="BJ30" s="11">
        <f ca="1">OFFSET(Gemini抽出データ!$A$1,BI29,2)</f>
        <v>0</v>
      </c>
      <c r="BK30" s="11"/>
      <c r="BL30" s="10" t="str">
        <f>"クライアント名"&amp;BL$1</f>
        <v>クライアント名142</v>
      </c>
      <c r="BM30" s="11">
        <f ca="1">OFFSET(Gemini抽出データ!$A$1,BL29,2)</f>
        <v>0</v>
      </c>
      <c r="BN30" s="12"/>
      <c r="BO30" s="13" t="str">
        <f>"クライアント名"&amp;BO$1</f>
        <v>クライアント名143</v>
      </c>
      <c r="BP30" s="11">
        <f ca="1">OFFSET(Gemini抽出データ!$A$1,BO29,2)</f>
        <v>0</v>
      </c>
      <c r="BQ30" s="11"/>
      <c r="BR30" s="10" t="str">
        <f>"クライアント名"&amp;BR$1</f>
        <v>クライアント名144</v>
      </c>
      <c r="BS30" s="11">
        <f ca="1">OFFSET(Gemini抽出データ!$A$1,BR29,2)</f>
        <v>0</v>
      </c>
      <c r="BT30" s="12"/>
      <c r="BU30" s="10" t="str">
        <f>"クライアント名"&amp;BU$1</f>
        <v>クライアント名169</v>
      </c>
      <c r="BV30" s="11">
        <f ca="1">OFFSET(Gemini抽出データ!$A$1,BU29,2)</f>
        <v>0</v>
      </c>
      <c r="BW30" s="11"/>
      <c r="BX30" s="10" t="str">
        <f>"クライアント名"&amp;BX$1</f>
        <v>クライアント名170</v>
      </c>
      <c r="BY30" s="11">
        <f ca="1">OFFSET(Gemini抽出データ!$A$1,BX29,2)</f>
        <v>0</v>
      </c>
      <c r="BZ30" s="12"/>
      <c r="CA30" s="13" t="str">
        <f>"クライアント名"&amp;CA$1</f>
        <v>クライアント名171</v>
      </c>
      <c r="CB30" s="11">
        <f ca="1">OFFSET(Gemini抽出データ!$A$1,CA29,2)</f>
        <v>0</v>
      </c>
      <c r="CC30" s="11"/>
      <c r="CD30" s="10" t="str">
        <f>"クライアント名"&amp;CD$1</f>
        <v>クライアント名172</v>
      </c>
      <c r="CE30" s="11">
        <f ca="1">OFFSET(Gemini抽出データ!$A$1,CD29,2)</f>
        <v>0</v>
      </c>
      <c r="CF30" s="12"/>
      <c r="CG30" s="10" t="str">
        <f>"クライアント名"&amp;CG$1</f>
        <v>クライアント名197</v>
      </c>
      <c r="CH30" s="11">
        <f ca="1">OFFSET(Gemini抽出データ!$A$1,CG29,2)</f>
        <v>0</v>
      </c>
      <c r="CI30" s="11"/>
      <c r="CJ30" s="10" t="str">
        <f>"クライアント名"&amp;CJ$1</f>
        <v>クライアント名198</v>
      </c>
      <c r="CK30" s="11">
        <f ca="1">OFFSET(Gemini抽出データ!$A$1,CJ29,2)</f>
        <v>0</v>
      </c>
      <c r="CL30" s="12"/>
      <c r="CM30" s="13" t="str">
        <f>"クライアント名"&amp;CM$1</f>
        <v>クライアント名199</v>
      </c>
      <c r="CN30" s="11">
        <f ca="1">OFFSET(Gemini抽出データ!$A$1,CM29,2)</f>
        <v>0</v>
      </c>
      <c r="CO30" s="11"/>
      <c r="CP30" s="10" t="str">
        <f>"クライアント名"&amp;CP$1</f>
        <v>クライアント名200</v>
      </c>
      <c r="CQ30" s="11">
        <f ca="1">OFFSET(Gemini抽出データ!$A$1,CP29,2)</f>
        <v>0</v>
      </c>
      <c r="CR30" s="12"/>
      <c r="CS30" s="10" t="str">
        <f>"クライアント名"&amp;CS$1</f>
        <v>クライアント名225</v>
      </c>
      <c r="CT30" s="11">
        <f ca="1">OFFSET(Gemini抽出データ!$A$1,CS29,2)</f>
        <v>0</v>
      </c>
      <c r="CU30" s="11"/>
      <c r="CV30" s="10" t="str">
        <f>"クライアント名"&amp;CV$1</f>
        <v>クライアント名226</v>
      </c>
      <c r="CW30" s="11">
        <f ca="1">OFFSET(Gemini抽出データ!$A$1,CV29,2)</f>
        <v>0</v>
      </c>
      <c r="CX30" s="12"/>
      <c r="CY30" s="13" t="str">
        <f>"クライアント名"&amp;CY$1</f>
        <v>クライアント名227</v>
      </c>
      <c r="CZ30" s="11">
        <f ca="1">OFFSET(Gemini抽出データ!$A$1,CY29,2)</f>
        <v>0</v>
      </c>
      <c r="DA30" s="11"/>
      <c r="DB30" s="10" t="str">
        <f>"クライアント名"&amp;DB$1</f>
        <v>クライアント名228</v>
      </c>
      <c r="DC30" s="11">
        <f ca="1">OFFSET(Gemini抽出データ!$A$1,DB29,2)</f>
        <v>0</v>
      </c>
      <c r="DD30" s="12"/>
      <c r="DE30" s="10" t="str">
        <f>"クライアント名"&amp;DE$1</f>
        <v>クライアント名253</v>
      </c>
      <c r="DF30" s="11">
        <f ca="1">OFFSET(Gemini抽出データ!$A$1,DE29,2)</f>
        <v>0</v>
      </c>
      <c r="DG30" s="11"/>
      <c r="DH30" s="10" t="str">
        <f>"クライアント名"&amp;DH$1</f>
        <v>クライアント名254</v>
      </c>
      <c r="DI30" s="11">
        <f ca="1">OFFSET(Gemini抽出データ!$A$1,DH29,2)</f>
        <v>0</v>
      </c>
      <c r="DJ30" s="12"/>
      <c r="DK30" s="13" t="str">
        <f>"クライアント名"&amp;DK$1</f>
        <v>クライアント名255</v>
      </c>
      <c r="DL30" s="11">
        <f ca="1">OFFSET(Gemini抽出データ!$A$1,DK29,2)</f>
        <v>0</v>
      </c>
      <c r="DM30" s="11"/>
      <c r="DN30" s="10" t="str">
        <f>"クライアント名"&amp;DN$1</f>
        <v>クライアント名256</v>
      </c>
      <c r="DO30" s="11">
        <f ca="1">OFFSET(Gemini抽出データ!$A$1,DN29,2)</f>
        <v>0</v>
      </c>
      <c r="DP30" s="12"/>
      <c r="DQ30" s="10" t="str">
        <f>"クライアント名"&amp;DQ$1</f>
        <v>クライアント名281</v>
      </c>
      <c r="DR30" s="11">
        <f ca="1">OFFSET(Gemini抽出データ!$A$1,DQ29,2)</f>
        <v>0</v>
      </c>
      <c r="DS30" s="11"/>
      <c r="DT30" s="10" t="str">
        <f>"クライアント名"&amp;DT$1</f>
        <v>クライアント名282</v>
      </c>
      <c r="DU30" s="11">
        <f ca="1">OFFSET(Gemini抽出データ!$A$1,DT29,2)</f>
        <v>0</v>
      </c>
      <c r="DV30" s="12"/>
      <c r="DW30" s="13" t="str">
        <f>"クライアント名"&amp;DW$1</f>
        <v>クライアント名283</v>
      </c>
      <c r="DX30" s="11">
        <f ca="1">OFFSET(Gemini抽出データ!$A$1,DW29,2)</f>
        <v>0</v>
      </c>
      <c r="DY30" s="11"/>
      <c r="DZ30" s="10" t="str">
        <f>"クライアント名"&amp;DZ$1</f>
        <v>クライアント名284</v>
      </c>
      <c r="EA30" s="11">
        <f ca="1">OFFSET(Gemini抽出データ!$A$1,DZ29,2)</f>
        <v>0</v>
      </c>
      <c r="EB30" s="12"/>
      <c r="EC30" s="10" t="str">
        <f>"クライアント名"&amp;EC$1</f>
        <v>クライアント名309</v>
      </c>
      <c r="ED30" s="11">
        <f ca="1">OFFSET(Gemini抽出データ!$A$1,EC29,2)</f>
        <v>0</v>
      </c>
      <c r="EE30" s="11"/>
      <c r="EF30" s="10" t="str">
        <f>"クライアント名"&amp;EF$1</f>
        <v>クライアント名310</v>
      </c>
      <c r="EG30" s="11">
        <f ca="1">OFFSET(Gemini抽出データ!$A$1,EF29,2)</f>
        <v>0</v>
      </c>
      <c r="EH30" s="12"/>
      <c r="EI30" s="13" t="str">
        <f>"クライアント名"&amp;EI$1</f>
        <v>クライアント名311</v>
      </c>
      <c r="EJ30" s="11">
        <f ca="1">OFFSET(Gemini抽出データ!$A$1,EI29,2)</f>
        <v>0</v>
      </c>
      <c r="EK30" s="11"/>
      <c r="EL30" s="10" t="str">
        <f>"クライアント名"&amp;EL$1</f>
        <v>クライアント名312</v>
      </c>
      <c r="EM30" s="11">
        <f ca="1">OFFSET(Gemini抽出データ!$A$1,EL29,2)</f>
        <v>0</v>
      </c>
      <c r="EN30" s="12"/>
      <c r="EO30" s="10" t="str">
        <f>"クライアント名"&amp;EO$1</f>
        <v>クライアント名337</v>
      </c>
      <c r="EP30" s="11">
        <f ca="1">OFFSET(Gemini抽出データ!$A$1,EO29,2)</f>
        <v>0</v>
      </c>
      <c r="EQ30" s="11"/>
      <c r="ER30" s="10" t="str">
        <f>"クライアント名"&amp;ER$1</f>
        <v>クライアント名338</v>
      </c>
      <c r="ES30" s="11">
        <f ca="1">OFFSET(Gemini抽出データ!$A$1,ER29,2)</f>
        <v>0</v>
      </c>
      <c r="ET30" s="12"/>
      <c r="EU30" s="13" t="str">
        <f>"クライアント名"&amp;EU$1</f>
        <v>クライアント名339</v>
      </c>
      <c r="EV30" s="11">
        <f ca="1">OFFSET(Gemini抽出データ!$A$1,EU29,2)</f>
        <v>0</v>
      </c>
      <c r="EW30" s="11"/>
      <c r="EX30" s="10" t="str">
        <f>"クライアント名"&amp;EX$1</f>
        <v>クライアント名340</v>
      </c>
      <c r="EY30" s="11">
        <f ca="1">OFFSET(Gemini抽出データ!$A$1,EX29,2)</f>
        <v>0</v>
      </c>
      <c r="EZ30" s="12"/>
      <c r="FA30" s="10" t="str">
        <f>"クライアント名"&amp;FA$1</f>
        <v>クライアント名365</v>
      </c>
      <c r="FB30" s="11">
        <f ca="1">OFFSET(Gemini抽出データ!$A$1,FA29,2)</f>
        <v>0</v>
      </c>
      <c r="FC30" s="11"/>
      <c r="FD30" s="10" t="str">
        <f>"クライアント名"&amp;FD$1</f>
        <v>クライアント名366</v>
      </c>
      <c r="FE30" s="11">
        <f ca="1">OFFSET(Gemini抽出データ!$A$1,FD29,2)</f>
        <v>0</v>
      </c>
      <c r="FF30" s="12"/>
      <c r="FG30" s="13" t="str">
        <f>"クライアント名"&amp;FG$1</f>
        <v>クライアント名367</v>
      </c>
      <c r="FH30" s="11">
        <f ca="1">OFFSET(Gemini抽出データ!$A$1,FG29,2)</f>
        <v>0</v>
      </c>
      <c r="FI30" s="11"/>
      <c r="FJ30" s="10" t="str">
        <f>"クライアント名"&amp;FJ$1</f>
        <v>クライアント名368</v>
      </c>
      <c r="FK30" s="11">
        <f ca="1">OFFSET(Gemini抽出データ!$A$1,FJ29,2)</f>
        <v>0</v>
      </c>
      <c r="FL30" s="12"/>
      <c r="FM30" s="10" t="str">
        <f>"クライアント名"&amp;FM$1</f>
        <v>クライアント名393</v>
      </c>
      <c r="FN30" s="11">
        <f ca="1">OFFSET(Gemini抽出データ!$A$1,FM29,2)</f>
        <v>0</v>
      </c>
      <c r="FO30" s="11"/>
      <c r="FP30" s="10" t="str">
        <f>"クライアント名"&amp;FP$1</f>
        <v>クライアント名394</v>
      </c>
      <c r="FQ30" s="11">
        <f ca="1">OFFSET(Gemini抽出データ!$A$1,FP29,2)</f>
        <v>0</v>
      </c>
      <c r="FR30" s="12"/>
      <c r="FS30" s="13" t="str">
        <f>"クライアント名"&amp;FS$1</f>
        <v>クライアント名395</v>
      </c>
      <c r="FT30" s="11">
        <f ca="1">OFFSET(Gemini抽出データ!$A$1,FS29,2)</f>
        <v>0</v>
      </c>
      <c r="FU30" s="11"/>
      <c r="FV30" s="10" t="str">
        <f>"クライアント名"&amp;FV$1</f>
        <v>クライアント名396</v>
      </c>
      <c r="FW30" s="11">
        <f ca="1">OFFSET(Gemini抽出データ!$A$1,FV29,2)</f>
        <v>0</v>
      </c>
      <c r="FX30" s="12"/>
      <c r="FY30" s="10" t="str">
        <f>"クライアント名"&amp;FY$1</f>
        <v>クライアント名421</v>
      </c>
      <c r="FZ30" s="11">
        <f ca="1">OFFSET(Gemini抽出データ!$A$1,FY29,2)</f>
        <v>0</v>
      </c>
      <c r="GA30" s="11"/>
      <c r="GB30" s="10" t="str">
        <f>"クライアント名"&amp;GB$1</f>
        <v>クライアント名422</v>
      </c>
      <c r="GC30" s="11">
        <f ca="1">OFFSET(Gemini抽出データ!$A$1,GB29,2)</f>
        <v>0</v>
      </c>
      <c r="GD30" s="12"/>
      <c r="GE30" s="13" t="str">
        <f>"クライアント名"&amp;GE$1</f>
        <v>クライアント名423</v>
      </c>
      <c r="GF30" s="11">
        <f ca="1">OFFSET(Gemini抽出データ!$A$1,GE29,2)</f>
        <v>0</v>
      </c>
      <c r="GG30" s="11"/>
      <c r="GH30" s="10" t="str">
        <f>"クライアント名"&amp;GH$1</f>
        <v>クライアント名424</v>
      </c>
      <c r="GI30" s="11">
        <f ca="1">OFFSET(Gemini抽出データ!$A$1,GH29,2)</f>
        <v>0</v>
      </c>
      <c r="GJ30" s="12"/>
      <c r="GK30" s="10" t="str">
        <f>"クライアント名"&amp;GK$1</f>
        <v>クライアント名449</v>
      </c>
      <c r="GL30" s="11">
        <f ca="1">OFFSET(Gemini抽出データ!$A$1,GK29,2)</f>
        <v>0</v>
      </c>
      <c r="GM30" s="11"/>
      <c r="GN30" s="10" t="str">
        <f>"クライアント名"&amp;GN$1</f>
        <v>クライアント名450</v>
      </c>
      <c r="GO30" s="11">
        <f ca="1">OFFSET(Gemini抽出データ!$A$1,GN29,2)</f>
        <v>0</v>
      </c>
      <c r="GP30" s="12"/>
      <c r="GQ30" s="13" t="str">
        <f>"クライアント名"&amp;GQ$1</f>
        <v>クライアント名451</v>
      </c>
      <c r="GR30" s="11">
        <f ca="1">OFFSET(Gemini抽出データ!$A$1,GQ29,2)</f>
        <v>0</v>
      </c>
      <c r="GS30" s="11"/>
      <c r="GT30" s="10" t="str">
        <f>"クライアント名"&amp;GT$1</f>
        <v>クライアント名452</v>
      </c>
      <c r="GU30" s="11">
        <f ca="1">OFFSET(Gemini抽出データ!$A$1,GT29,2)</f>
        <v>0</v>
      </c>
      <c r="GV30" s="12"/>
      <c r="GW30" s="10" t="str">
        <f>"クライアント名"&amp;GW$1</f>
        <v>クライアント名477</v>
      </c>
      <c r="GX30" s="11">
        <f ca="1">OFFSET(Gemini抽出データ!$A$1,GW29,2)</f>
        <v>0</v>
      </c>
      <c r="GY30" s="11"/>
      <c r="GZ30" s="10" t="str">
        <f>"クライアント名"&amp;GZ$1</f>
        <v>クライアント名478</v>
      </c>
      <c r="HA30" s="11">
        <f ca="1">OFFSET(Gemini抽出データ!$A$1,GZ29,2)</f>
        <v>0</v>
      </c>
      <c r="HB30" s="12"/>
      <c r="HC30" s="13" t="str">
        <f>"クライアント名"&amp;HC$1</f>
        <v>クライアント名479</v>
      </c>
      <c r="HD30" s="11">
        <f ca="1">OFFSET(Gemini抽出データ!$A$1,HC29,2)</f>
        <v>0</v>
      </c>
      <c r="HE30" s="11"/>
      <c r="HF30" s="10" t="str">
        <f>"クライアント名"&amp;HF$1</f>
        <v>クライアント名480</v>
      </c>
      <c r="HG30" s="11">
        <f ca="1">OFFSET(Gemini抽出データ!$A$1,HF29,2)</f>
        <v>0</v>
      </c>
      <c r="HH30" s="12"/>
      <c r="HI30" s="10" t="str">
        <f>"クライアント名"&amp;HI$1</f>
        <v>クライアント名505</v>
      </c>
      <c r="HJ30" s="11">
        <f ca="1">OFFSET(Gemini抽出データ!$A$1,HI29,2)</f>
        <v>0</v>
      </c>
      <c r="HK30" s="11"/>
      <c r="HL30" s="10" t="str">
        <f>"クライアント名"&amp;HL$1</f>
        <v>クライアント名506</v>
      </c>
      <c r="HM30" s="11">
        <f ca="1">OFFSET(Gemini抽出データ!$A$1,HL29,2)</f>
        <v>0</v>
      </c>
      <c r="HN30" s="12"/>
      <c r="HO30" s="13" t="str">
        <f>"クライアント名"&amp;HO$1</f>
        <v>クライアント名507</v>
      </c>
      <c r="HP30" s="11">
        <f ca="1">OFFSET(Gemini抽出データ!$A$1,HO29,2)</f>
        <v>0</v>
      </c>
      <c r="HQ30" s="11"/>
      <c r="HR30" s="10" t="str">
        <f>"クライアント名"&amp;HR$1</f>
        <v>クライアント名508</v>
      </c>
      <c r="HS30" s="11">
        <f ca="1">OFFSET(Gemini抽出データ!$A$1,HR29,2)</f>
        <v>0</v>
      </c>
      <c r="HT30" s="12"/>
      <c r="HU30" t="e">
        <f ca="1">OFFSET(Gemini抽出データ!$A$1,#REF!,2)</f>
        <v>#REF!</v>
      </c>
    </row>
    <row r="31" spans="1:230" ht="17.100000000000001" customHeight="1" x14ac:dyDescent="0.45">
      <c r="A31" s="10" t="str">
        <f>"種類"&amp;A$1</f>
        <v>種類1</v>
      </c>
      <c r="B31" s="25" t="str">
        <f ca="1">IF(OFFSET(Gemini抽出データ!$A$1,A29,1)=0,"",OFFSET(Gemini抽出データ!$A$1,A29,1))</f>
        <v/>
      </c>
      <c r="C31" s="26"/>
      <c r="D31" s="30" t="str">
        <f>"学年"&amp;D$1</f>
        <v>学年2</v>
      </c>
      <c r="E31" s="25" t="str">
        <f ca="1">IF(OFFSET(Gemini抽出データ!$A$1,D29,1)=0,"",OFFSET(Gemini抽出データ!$A$1,D29,1))</f>
        <v/>
      </c>
      <c r="F31" s="27"/>
      <c r="G31" s="31" t="str">
        <f>"学年"&amp;G$1</f>
        <v>学年3</v>
      </c>
      <c r="H31" s="25" t="str">
        <f ca="1">IF(OFFSET(Gemini抽出データ!$A$1,G29,1)=0,"",OFFSET(Gemini抽出データ!$A$1,G29,1))</f>
        <v/>
      </c>
      <c r="I31" s="26"/>
      <c r="J31" s="30" t="str">
        <f>"学年"&amp;J$1</f>
        <v>学年4</v>
      </c>
      <c r="K31" s="25" t="str">
        <f ca="1">IF(OFFSET(Gemini抽出データ!$A$1,J29,1)=0,"",OFFSET(Gemini抽出データ!$A$1,J29,1))</f>
        <v/>
      </c>
      <c r="L31" s="27"/>
      <c r="M31" s="10" t="str">
        <f>"種類"&amp;M$1</f>
        <v>種類29</v>
      </c>
      <c r="N31" s="25" t="str">
        <f ca="1">IF(OFFSET(Gemini抽出データ!$A$1,M29,1)=0,"",OFFSET(Gemini抽出データ!$A$1,M29,1))</f>
        <v/>
      </c>
      <c r="O31" s="26"/>
      <c r="P31" s="30" t="str">
        <f>"学年"&amp;P$1</f>
        <v>学年30</v>
      </c>
      <c r="Q31" s="25" t="str">
        <f ca="1">IF(OFFSET(Gemini抽出データ!$A$1,P29,1)=0,"",OFFSET(Gemini抽出データ!$A$1,P29,1))</f>
        <v/>
      </c>
      <c r="R31" s="27"/>
      <c r="S31" s="31" t="str">
        <f>"学年"&amp;S$1</f>
        <v>学年31</v>
      </c>
      <c r="T31" s="25" t="str">
        <f ca="1">IF(OFFSET(Gemini抽出データ!$A$1,S29,1)=0,"",OFFSET(Gemini抽出データ!$A$1,S29,1))</f>
        <v/>
      </c>
      <c r="U31" s="26"/>
      <c r="V31" s="30" t="str">
        <f>"学年"&amp;V$1</f>
        <v>学年32</v>
      </c>
      <c r="W31" s="25" t="str">
        <f ca="1">IF(OFFSET(Gemini抽出データ!$A$1,V29,1)=0,"",OFFSET(Gemini抽出データ!$A$1,V29,1))</f>
        <v/>
      </c>
      <c r="X31" s="27"/>
      <c r="Y31" s="10" t="str">
        <f>"種類"&amp;Y$1</f>
        <v>種類57</v>
      </c>
      <c r="Z31" s="25" t="str">
        <f ca="1">IF(OFFSET(Gemini抽出データ!$A$1,Y29,1)=0,"",OFFSET(Gemini抽出データ!$A$1,Y29,1))</f>
        <v/>
      </c>
      <c r="AA31" s="26"/>
      <c r="AB31" s="30" t="str">
        <f>"学年"&amp;AB$1</f>
        <v>学年58</v>
      </c>
      <c r="AC31" s="25" t="str">
        <f ca="1">IF(OFFSET(Gemini抽出データ!$A$1,AB29,1)=0,"",OFFSET(Gemini抽出データ!$A$1,AB29,1))</f>
        <v/>
      </c>
      <c r="AD31" s="27"/>
      <c r="AE31" s="31" t="str">
        <f>"学年"&amp;AE$1</f>
        <v>学年59</v>
      </c>
      <c r="AF31" s="25" t="str">
        <f ca="1">IF(OFFSET(Gemini抽出データ!$A$1,AE29,1)=0,"",OFFSET(Gemini抽出データ!$A$1,AE29,1))</f>
        <v/>
      </c>
      <c r="AG31" s="26"/>
      <c r="AH31" s="30" t="str">
        <f>"学年"&amp;AH$1</f>
        <v>学年60</v>
      </c>
      <c r="AI31" s="25" t="str">
        <f ca="1">IF(OFFSET(Gemini抽出データ!$A$1,AH29,1)=0,"",OFFSET(Gemini抽出データ!$A$1,AH29,1))</f>
        <v/>
      </c>
      <c r="AJ31" s="27"/>
      <c r="AK31" s="10" t="str">
        <f>"種類"&amp;AK$1</f>
        <v>種類85</v>
      </c>
      <c r="AL31" s="25" t="str">
        <f ca="1">IF(OFFSET(Gemini抽出データ!$A$1,AK29,1)=0,"",OFFSET(Gemini抽出データ!$A$1,AK29,1))</f>
        <v/>
      </c>
      <c r="AM31" s="26"/>
      <c r="AN31" s="30" t="str">
        <f>"学年"&amp;AN$1</f>
        <v>学年86</v>
      </c>
      <c r="AO31" s="25" t="str">
        <f ca="1">IF(OFFSET(Gemini抽出データ!$A$1,AN29,1)=0,"",OFFSET(Gemini抽出データ!$A$1,AN29,1))</f>
        <v/>
      </c>
      <c r="AP31" s="27"/>
      <c r="AQ31" s="31" t="str">
        <f>"学年"&amp;AQ$1</f>
        <v>学年87</v>
      </c>
      <c r="AR31" s="25" t="str">
        <f ca="1">IF(OFFSET(Gemini抽出データ!$A$1,AQ29,1)=0,"",OFFSET(Gemini抽出データ!$A$1,AQ29,1))</f>
        <v/>
      </c>
      <c r="AS31" s="26"/>
      <c r="AT31" s="30" t="str">
        <f>"学年"&amp;AT$1</f>
        <v>学年88</v>
      </c>
      <c r="AU31" s="25" t="str">
        <f ca="1">IF(OFFSET(Gemini抽出データ!$A$1,AT29,1)=0,"",OFFSET(Gemini抽出データ!$A$1,AT29,1))</f>
        <v/>
      </c>
      <c r="AV31" s="27"/>
      <c r="AW31" s="10" t="str">
        <f>"種類"&amp;AW$1</f>
        <v>種類113</v>
      </c>
      <c r="AX31" s="25" t="str">
        <f ca="1">IF(OFFSET(Gemini抽出データ!$A$1,AW29,1)=0,"",OFFSET(Gemini抽出データ!$A$1,AW29,1))</f>
        <v/>
      </c>
      <c r="AY31" s="26"/>
      <c r="AZ31" s="30" t="str">
        <f>"学年"&amp;AZ$1</f>
        <v>学年114</v>
      </c>
      <c r="BA31" s="25" t="str">
        <f ca="1">IF(OFFSET(Gemini抽出データ!$A$1,AZ29,1)=0,"",OFFSET(Gemini抽出データ!$A$1,AZ29,1))</f>
        <v/>
      </c>
      <c r="BB31" s="27"/>
      <c r="BC31" s="31" t="str">
        <f>"学年"&amp;BC$1</f>
        <v>学年115</v>
      </c>
      <c r="BD31" s="25" t="str">
        <f ca="1">IF(OFFSET(Gemini抽出データ!$A$1,BC29,1)=0,"",OFFSET(Gemini抽出データ!$A$1,BC29,1))</f>
        <v/>
      </c>
      <c r="BE31" s="26"/>
      <c r="BF31" s="30" t="str">
        <f>"学年"&amp;BF$1</f>
        <v>学年116</v>
      </c>
      <c r="BG31" s="25" t="str">
        <f ca="1">IF(OFFSET(Gemini抽出データ!$A$1,BF29,1)=0,"",OFFSET(Gemini抽出データ!$A$1,BF29,1))</f>
        <v/>
      </c>
      <c r="BH31" s="27"/>
      <c r="BI31" s="10" t="str">
        <f>"種類"&amp;BI$1</f>
        <v>種類141</v>
      </c>
      <c r="BJ31" s="25" t="str">
        <f ca="1">IF(OFFSET(Gemini抽出データ!$A$1,BI29,1)=0,"",OFFSET(Gemini抽出データ!$A$1,BI29,1))</f>
        <v/>
      </c>
      <c r="BK31" s="26"/>
      <c r="BL31" s="30" t="str">
        <f>"学年"&amp;BL$1</f>
        <v>学年142</v>
      </c>
      <c r="BM31" s="25" t="str">
        <f ca="1">IF(OFFSET(Gemini抽出データ!$A$1,BL29,1)=0,"",OFFSET(Gemini抽出データ!$A$1,BL29,1))</f>
        <v/>
      </c>
      <c r="BN31" s="27"/>
      <c r="BO31" s="31" t="str">
        <f>"学年"&amp;BO$1</f>
        <v>学年143</v>
      </c>
      <c r="BP31" s="25" t="str">
        <f ca="1">IF(OFFSET(Gemini抽出データ!$A$1,BO29,1)=0,"",OFFSET(Gemini抽出データ!$A$1,BO29,1))</f>
        <v/>
      </c>
      <c r="BQ31" s="26"/>
      <c r="BR31" s="30" t="str">
        <f>"学年"&amp;BR$1</f>
        <v>学年144</v>
      </c>
      <c r="BS31" s="25" t="str">
        <f ca="1">IF(OFFSET(Gemini抽出データ!$A$1,BR29,1)=0,"",OFFSET(Gemini抽出データ!$A$1,BR29,1))</f>
        <v/>
      </c>
      <c r="BT31" s="27"/>
      <c r="BU31" s="10" t="str">
        <f>"種類"&amp;BU$1</f>
        <v>種類169</v>
      </c>
      <c r="BV31" s="25" t="str">
        <f ca="1">IF(OFFSET(Gemini抽出データ!$A$1,BU29,1)=0,"",OFFSET(Gemini抽出データ!$A$1,BU29,1))</f>
        <v/>
      </c>
      <c r="BW31" s="26"/>
      <c r="BX31" s="30" t="str">
        <f>"学年"&amp;BX$1</f>
        <v>学年170</v>
      </c>
      <c r="BY31" s="25" t="str">
        <f ca="1">IF(OFFSET(Gemini抽出データ!$A$1,BX29,1)=0,"",OFFSET(Gemini抽出データ!$A$1,BX29,1))</f>
        <v/>
      </c>
      <c r="BZ31" s="27"/>
      <c r="CA31" s="31" t="str">
        <f>"学年"&amp;CA$1</f>
        <v>学年171</v>
      </c>
      <c r="CB31" s="25" t="str">
        <f ca="1">IF(OFFSET(Gemini抽出データ!$A$1,CA29,1)=0,"",OFFSET(Gemini抽出データ!$A$1,CA29,1))</f>
        <v/>
      </c>
      <c r="CC31" s="26"/>
      <c r="CD31" s="30" t="str">
        <f>"学年"&amp;CD$1</f>
        <v>学年172</v>
      </c>
      <c r="CE31" s="25" t="str">
        <f ca="1">IF(OFFSET(Gemini抽出データ!$A$1,CD29,1)=0,"",OFFSET(Gemini抽出データ!$A$1,CD29,1))</f>
        <v/>
      </c>
      <c r="CF31" s="27"/>
      <c r="CG31" s="10" t="str">
        <f>"種類"&amp;CG$1</f>
        <v>種類197</v>
      </c>
      <c r="CH31" s="25" t="str">
        <f ca="1">IF(OFFSET(Gemini抽出データ!$A$1,CG29,1)=0,"",OFFSET(Gemini抽出データ!$A$1,CG29,1))</f>
        <v/>
      </c>
      <c r="CI31" s="26"/>
      <c r="CJ31" s="30" t="str">
        <f>"学年"&amp;CJ$1</f>
        <v>学年198</v>
      </c>
      <c r="CK31" s="25" t="str">
        <f ca="1">IF(OFFSET(Gemini抽出データ!$A$1,CJ29,1)=0,"",OFFSET(Gemini抽出データ!$A$1,CJ29,1))</f>
        <v/>
      </c>
      <c r="CL31" s="27"/>
      <c r="CM31" s="31" t="str">
        <f>"学年"&amp;CM$1</f>
        <v>学年199</v>
      </c>
      <c r="CN31" s="25" t="str">
        <f ca="1">IF(OFFSET(Gemini抽出データ!$A$1,CM29,1)=0,"",OFFSET(Gemini抽出データ!$A$1,CM29,1))</f>
        <v/>
      </c>
      <c r="CO31" s="26"/>
      <c r="CP31" s="30" t="str">
        <f>"学年"&amp;CP$1</f>
        <v>学年200</v>
      </c>
      <c r="CQ31" s="25" t="str">
        <f ca="1">IF(OFFSET(Gemini抽出データ!$A$1,CP29,1)=0,"",OFFSET(Gemini抽出データ!$A$1,CP29,1))</f>
        <v/>
      </c>
      <c r="CR31" s="27"/>
      <c r="CS31" s="10" t="str">
        <f>"種類"&amp;CS$1</f>
        <v>種類225</v>
      </c>
      <c r="CT31" s="25" t="str">
        <f ca="1">IF(OFFSET(Gemini抽出データ!$A$1,CS29,1)=0,"",OFFSET(Gemini抽出データ!$A$1,CS29,1))</f>
        <v/>
      </c>
      <c r="CU31" s="26"/>
      <c r="CV31" s="30" t="str">
        <f>"学年"&amp;CV$1</f>
        <v>学年226</v>
      </c>
      <c r="CW31" s="25" t="str">
        <f ca="1">IF(OFFSET(Gemini抽出データ!$A$1,CV29,1)=0,"",OFFSET(Gemini抽出データ!$A$1,CV29,1))</f>
        <v/>
      </c>
      <c r="CX31" s="27"/>
      <c r="CY31" s="31" t="str">
        <f>"学年"&amp;CY$1</f>
        <v>学年227</v>
      </c>
      <c r="CZ31" s="25" t="str">
        <f ca="1">IF(OFFSET(Gemini抽出データ!$A$1,CY29,1)=0,"",OFFSET(Gemini抽出データ!$A$1,CY29,1))</f>
        <v/>
      </c>
      <c r="DA31" s="26"/>
      <c r="DB31" s="30" t="str">
        <f>"学年"&amp;DB$1</f>
        <v>学年228</v>
      </c>
      <c r="DC31" s="25" t="str">
        <f ca="1">IF(OFFSET(Gemini抽出データ!$A$1,DB29,1)=0,"",OFFSET(Gemini抽出データ!$A$1,DB29,1))</f>
        <v/>
      </c>
      <c r="DD31" s="27"/>
      <c r="DE31" s="10" t="str">
        <f>"種類"&amp;DE$1</f>
        <v>種類253</v>
      </c>
      <c r="DF31" s="25" t="str">
        <f ca="1">IF(OFFSET(Gemini抽出データ!$A$1,DE29,1)=0,"",OFFSET(Gemini抽出データ!$A$1,DE29,1))</f>
        <v/>
      </c>
      <c r="DG31" s="26"/>
      <c r="DH31" s="30" t="str">
        <f>"学年"&amp;DH$1</f>
        <v>学年254</v>
      </c>
      <c r="DI31" s="25" t="str">
        <f ca="1">IF(OFFSET(Gemini抽出データ!$A$1,DH29,1)=0,"",OFFSET(Gemini抽出データ!$A$1,DH29,1))</f>
        <v/>
      </c>
      <c r="DJ31" s="27"/>
      <c r="DK31" s="31" t="str">
        <f>"学年"&amp;DK$1</f>
        <v>学年255</v>
      </c>
      <c r="DL31" s="25" t="str">
        <f ca="1">IF(OFFSET(Gemini抽出データ!$A$1,DK29,1)=0,"",OFFSET(Gemini抽出データ!$A$1,DK29,1))</f>
        <v/>
      </c>
      <c r="DM31" s="26"/>
      <c r="DN31" s="30" t="str">
        <f>"学年"&amp;DN$1</f>
        <v>学年256</v>
      </c>
      <c r="DO31" s="25" t="str">
        <f ca="1">IF(OFFSET(Gemini抽出データ!$A$1,DN29,1)=0,"",OFFSET(Gemini抽出データ!$A$1,DN29,1))</f>
        <v/>
      </c>
      <c r="DP31" s="27"/>
      <c r="DQ31" s="10" t="str">
        <f>"種類"&amp;DQ$1</f>
        <v>種類281</v>
      </c>
      <c r="DR31" s="25" t="str">
        <f ca="1">IF(OFFSET(Gemini抽出データ!$A$1,DQ29,1)=0,"",OFFSET(Gemini抽出データ!$A$1,DQ29,1))</f>
        <v/>
      </c>
      <c r="DS31" s="26"/>
      <c r="DT31" s="30" t="str">
        <f>"学年"&amp;DT$1</f>
        <v>学年282</v>
      </c>
      <c r="DU31" s="25" t="str">
        <f ca="1">IF(OFFSET(Gemini抽出データ!$A$1,DT29,1)=0,"",OFFSET(Gemini抽出データ!$A$1,DT29,1))</f>
        <v/>
      </c>
      <c r="DV31" s="27"/>
      <c r="DW31" s="31" t="str">
        <f>"学年"&amp;DW$1</f>
        <v>学年283</v>
      </c>
      <c r="DX31" s="25" t="str">
        <f ca="1">IF(OFFSET(Gemini抽出データ!$A$1,DW29,1)=0,"",OFFSET(Gemini抽出データ!$A$1,DW29,1))</f>
        <v/>
      </c>
      <c r="DY31" s="26"/>
      <c r="DZ31" s="30" t="str">
        <f>"学年"&amp;DZ$1</f>
        <v>学年284</v>
      </c>
      <c r="EA31" s="25" t="str">
        <f ca="1">IF(OFFSET(Gemini抽出データ!$A$1,DZ29,1)=0,"",OFFSET(Gemini抽出データ!$A$1,DZ29,1))</f>
        <v/>
      </c>
      <c r="EB31" s="27"/>
      <c r="EC31" s="10" t="str">
        <f>"種類"&amp;EC$1</f>
        <v>種類309</v>
      </c>
      <c r="ED31" s="25" t="str">
        <f ca="1">IF(OFFSET(Gemini抽出データ!$A$1,EC29,1)=0,"",OFFSET(Gemini抽出データ!$A$1,EC29,1))</f>
        <v/>
      </c>
      <c r="EE31" s="26"/>
      <c r="EF31" s="30" t="str">
        <f>"学年"&amp;EF$1</f>
        <v>学年310</v>
      </c>
      <c r="EG31" s="25" t="str">
        <f ca="1">IF(OFFSET(Gemini抽出データ!$A$1,EF29,1)=0,"",OFFSET(Gemini抽出データ!$A$1,EF29,1))</f>
        <v/>
      </c>
      <c r="EH31" s="27"/>
      <c r="EI31" s="31" t="str">
        <f>"学年"&amp;EI$1</f>
        <v>学年311</v>
      </c>
      <c r="EJ31" s="25" t="str">
        <f ca="1">IF(OFFSET(Gemini抽出データ!$A$1,EI29,1)=0,"",OFFSET(Gemini抽出データ!$A$1,EI29,1))</f>
        <v/>
      </c>
      <c r="EK31" s="26"/>
      <c r="EL31" s="30" t="str">
        <f>"学年"&amp;EL$1</f>
        <v>学年312</v>
      </c>
      <c r="EM31" s="25" t="str">
        <f ca="1">IF(OFFSET(Gemini抽出データ!$A$1,EL29,1)=0,"",OFFSET(Gemini抽出データ!$A$1,EL29,1))</f>
        <v/>
      </c>
      <c r="EN31" s="27"/>
      <c r="EO31" s="10" t="str">
        <f>"種類"&amp;EO$1</f>
        <v>種類337</v>
      </c>
      <c r="EP31" s="25" t="str">
        <f ca="1">IF(OFFSET(Gemini抽出データ!$A$1,EO29,1)=0,"",OFFSET(Gemini抽出データ!$A$1,EO29,1))</f>
        <v/>
      </c>
      <c r="EQ31" s="26"/>
      <c r="ER31" s="30" t="str">
        <f>"学年"&amp;ER$1</f>
        <v>学年338</v>
      </c>
      <c r="ES31" s="25" t="str">
        <f ca="1">IF(OFFSET(Gemini抽出データ!$A$1,ER29,1)=0,"",OFFSET(Gemini抽出データ!$A$1,ER29,1))</f>
        <v/>
      </c>
      <c r="ET31" s="27"/>
      <c r="EU31" s="31" t="str">
        <f>"学年"&amp;EU$1</f>
        <v>学年339</v>
      </c>
      <c r="EV31" s="25" t="str">
        <f ca="1">IF(OFFSET(Gemini抽出データ!$A$1,EU29,1)=0,"",OFFSET(Gemini抽出データ!$A$1,EU29,1))</f>
        <v/>
      </c>
      <c r="EW31" s="26"/>
      <c r="EX31" s="30" t="str">
        <f>"学年"&amp;EX$1</f>
        <v>学年340</v>
      </c>
      <c r="EY31" s="25" t="str">
        <f ca="1">IF(OFFSET(Gemini抽出データ!$A$1,EX29,1)=0,"",OFFSET(Gemini抽出データ!$A$1,EX29,1))</f>
        <v/>
      </c>
      <c r="EZ31" s="27"/>
      <c r="FA31" s="10" t="str">
        <f>"種類"&amp;FA$1</f>
        <v>種類365</v>
      </c>
      <c r="FB31" s="25" t="str">
        <f ca="1">IF(OFFSET(Gemini抽出データ!$A$1,FA29,1)=0,"",OFFSET(Gemini抽出データ!$A$1,FA29,1))</f>
        <v/>
      </c>
      <c r="FC31" s="26"/>
      <c r="FD31" s="30" t="str">
        <f>"学年"&amp;FD$1</f>
        <v>学年366</v>
      </c>
      <c r="FE31" s="25" t="str">
        <f ca="1">IF(OFFSET(Gemini抽出データ!$A$1,FD29,1)=0,"",OFFSET(Gemini抽出データ!$A$1,FD29,1))</f>
        <v/>
      </c>
      <c r="FF31" s="27"/>
      <c r="FG31" s="31" t="str">
        <f>"学年"&amp;FG$1</f>
        <v>学年367</v>
      </c>
      <c r="FH31" s="25" t="str">
        <f ca="1">IF(OFFSET(Gemini抽出データ!$A$1,FG29,1)=0,"",OFFSET(Gemini抽出データ!$A$1,FG29,1))</f>
        <v/>
      </c>
      <c r="FI31" s="26"/>
      <c r="FJ31" s="30" t="str">
        <f>"学年"&amp;FJ$1</f>
        <v>学年368</v>
      </c>
      <c r="FK31" s="25" t="str">
        <f ca="1">IF(OFFSET(Gemini抽出データ!$A$1,FJ29,1)=0,"",OFFSET(Gemini抽出データ!$A$1,FJ29,1))</f>
        <v/>
      </c>
      <c r="FL31" s="27"/>
      <c r="FM31" s="10" t="str">
        <f>"種類"&amp;FM$1</f>
        <v>種類393</v>
      </c>
      <c r="FN31" s="25" t="str">
        <f ca="1">IF(OFFSET(Gemini抽出データ!$A$1,FM29,1)=0,"",OFFSET(Gemini抽出データ!$A$1,FM29,1))</f>
        <v/>
      </c>
      <c r="FO31" s="26"/>
      <c r="FP31" s="30" t="str">
        <f>"学年"&amp;FP$1</f>
        <v>学年394</v>
      </c>
      <c r="FQ31" s="25" t="str">
        <f ca="1">IF(OFFSET(Gemini抽出データ!$A$1,FP29,1)=0,"",OFFSET(Gemini抽出データ!$A$1,FP29,1))</f>
        <v/>
      </c>
      <c r="FR31" s="27"/>
      <c r="FS31" s="31" t="str">
        <f>"学年"&amp;FS$1</f>
        <v>学年395</v>
      </c>
      <c r="FT31" s="25" t="str">
        <f ca="1">IF(OFFSET(Gemini抽出データ!$A$1,FS29,1)=0,"",OFFSET(Gemini抽出データ!$A$1,FS29,1))</f>
        <v/>
      </c>
      <c r="FU31" s="26"/>
      <c r="FV31" s="30" t="str">
        <f>"学年"&amp;FV$1</f>
        <v>学年396</v>
      </c>
      <c r="FW31" s="25" t="str">
        <f ca="1">IF(OFFSET(Gemini抽出データ!$A$1,FV29,1)=0,"",OFFSET(Gemini抽出データ!$A$1,FV29,1))</f>
        <v/>
      </c>
      <c r="FX31" s="27"/>
      <c r="FY31" s="10" t="str">
        <f>"種類"&amp;FY$1</f>
        <v>種類421</v>
      </c>
      <c r="FZ31" s="25" t="str">
        <f ca="1">IF(OFFSET(Gemini抽出データ!$A$1,FY29,1)=0,"",OFFSET(Gemini抽出データ!$A$1,FY29,1))</f>
        <v/>
      </c>
      <c r="GA31" s="26"/>
      <c r="GB31" s="30" t="str">
        <f>"学年"&amp;GB$1</f>
        <v>学年422</v>
      </c>
      <c r="GC31" s="25" t="str">
        <f ca="1">IF(OFFSET(Gemini抽出データ!$A$1,GB29,1)=0,"",OFFSET(Gemini抽出データ!$A$1,GB29,1))</f>
        <v/>
      </c>
      <c r="GD31" s="27"/>
      <c r="GE31" s="31" t="str">
        <f>"学年"&amp;GE$1</f>
        <v>学年423</v>
      </c>
      <c r="GF31" s="25" t="str">
        <f ca="1">IF(OFFSET(Gemini抽出データ!$A$1,GE29,1)=0,"",OFFSET(Gemini抽出データ!$A$1,GE29,1))</f>
        <v/>
      </c>
      <c r="GG31" s="26"/>
      <c r="GH31" s="30" t="str">
        <f>"学年"&amp;GH$1</f>
        <v>学年424</v>
      </c>
      <c r="GI31" s="25" t="str">
        <f ca="1">IF(OFFSET(Gemini抽出データ!$A$1,GH29,1)=0,"",OFFSET(Gemini抽出データ!$A$1,GH29,1))</f>
        <v/>
      </c>
      <c r="GJ31" s="27"/>
      <c r="GK31" s="10" t="str">
        <f>"種類"&amp;GK$1</f>
        <v>種類449</v>
      </c>
      <c r="GL31" s="25" t="str">
        <f ca="1">IF(OFFSET(Gemini抽出データ!$A$1,GK29,1)=0,"",OFFSET(Gemini抽出データ!$A$1,GK29,1))</f>
        <v/>
      </c>
      <c r="GM31" s="26"/>
      <c r="GN31" s="30" t="str">
        <f>"学年"&amp;GN$1</f>
        <v>学年450</v>
      </c>
      <c r="GO31" s="25" t="str">
        <f ca="1">IF(OFFSET(Gemini抽出データ!$A$1,GN29,1)=0,"",OFFSET(Gemini抽出データ!$A$1,GN29,1))</f>
        <v/>
      </c>
      <c r="GP31" s="27"/>
      <c r="GQ31" s="31" t="str">
        <f>"学年"&amp;GQ$1</f>
        <v>学年451</v>
      </c>
      <c r="GR31" s="25" t="str">
        <f ca="1">IF(OFFSET(Gemini抽出データ!$A$1,GQ29,1)=0,"",OFFSET(Gemini抽出データ!$A$1,GQ29,1))</f>
        <v/>
      </c>
      <c r="GS31" s="26"/>
      <c r="GT31" s="30" t="str">
        <f>"学年"&amp;GT$1</f>
        <v>学年452</v>
      </c>
      <c r="GU31" s="25" t="str">
        <f ca="1">IF(OFFSET(Gemini抽出データ!$A$1,GT29,1)=0,"",OFFSET(Gemini抽出データ!$A$1,GT29,1))</f>
        <v/>
      </c>
      <c r="GV31" s="27"/>
      <c r="GW31" s="10" t="str">
        <f>"種類"&amp;GW$1</f>
        <v>種類477</v>
      </c>
      <c r="GX31" s="25" t="str">
        <f ca="1">IF(OFFSET(Gemini抽出データ!$A$1,GW29,1)=0,"",OFFSET(Gemini抽出データ!$A$1,GW29,1))</f>
        <v/>
      </c>
      <c r="GY31" s="26"/>
      <c r="GZ31" s="30" t="str">
        <f>"学年"&amp;GZ$1</f>
        <v>学年478</v>
      </c>
      <c r="HA31" s="25" t="str">
        <f ca="1">IF(OFFSET(Gemini抽出データ!$A$1,GZ29,1)=0,"",OFFSET(Gemini抽出データ!$A$1,GZ29,1))</f>
        <v/>
      </c>
      <c r="HB31" s="27"/>
      <c r="HC31" s="31" t="str">
        <f>"学年"&amp;HC$1</f>
        <v>学年479</v>
      </c>
      <c r="HD31" s="25" t="str">
        <f ca="1">IF(OFFSET(Gemini抽出データ!$A$1,HC29,1)=0,"",OFFSET(Gemini抽出データ!$A$1,HC29,1))</f>
        <v/>
      </c>
      <c r="HE31" s="26"/>
      <c r="HF31" s="30" t="str">
        <f>"学年"&amp;HF$1</f>
        <v>学年480</v>
      </c>
      <c r="HG31" s="25" t="str">
        <f ca="1">IF(OFFSET(Gemini抽出データ!$A$1,HF29,1)=0,"",OFFSET(Gemini抽出データ!$A$1,HF29,1))</f>
        <v/>
      </c>
      <c r="HH31" s="27"/>
      <c r="HI31" s="10" t="str">
        <f>"種類"&amp;HI$1</f>
        <v>種類505</v>
      </c>
      <c r="HJ31" s="25" t="str">
        <f ca="1">IF(OFFSET(Gemini抽出データ!$A$1,HI29,1)=0,"",OFFSET(Gemini抽出データ!$A$1,HI29,1))</f>
        <v/>
      </c>
      <c r="HK31" s="26"/>
      <c r="HL31" s="30" t="str">
        <f>"学年"&amp;HL$1</f>
        <v>学年506</v>
      </c>
      <c r="HM31" s="25" t="str">
        <f ca="1">IF(OFFSET(Gemini抽出データ!$A$1,HL29,1)=0,"",OFFSET(Gemini抽出データ!$A$1,HL29,1))</f>
        <v/>
      </c>
      <c r="HN31" s="27"/>
      <c r="HO31" s="31" t="str">
        <f>"学年"&amp;HO$1</f>
        <v>学年507</v>
      </c>
      <c r="HP31" s="25" t="str">
        <f ca="1">IF(OFFSET(Gemini抽出データ!$A$1,HO29,1)=0,"",OFFSET(Gemini抽出データ!$A$1,HO29,1))</f>
        <v/>
      </c>
      <c r="HQ31" s="26"/>
      <c r="HR31" s="30" t="str">
        <f>"学年"&amp;HR$1</f>
        <v>学年508</v>
      </c>
      <c r="HS31" s="25" t="str">
        <f ca="1">IF(OFFSET(Gemini抽出データ!$A$1,HR29,1)=0,"",OFFSET(Gemini抽出データ!$A$1,HR29,1))</f>
        <v/>
      </c>
      <c r="HT31" s="27"/>
      <c r="HU31" s="2" t="e">
        <f ca="1">IF(OFFSET(Gemini抽出データ!$A$1,#REF!,1)=0,"",OFFSET(Gemini抽出データ!$A$1,#REF!,1))</f>
        <v>#REF!</v>
      </c>
      <c r="HV31" s="3"/>
    </row>
    <row r="32" spans="1:230" ht="17.100000000000001" customHeight="1" x14ac:dyDescent="0.45">
      <c r="A32" s="10" t="str">
        <f>"学年"&amp;A$1</f>
        <v>学年1</v>
      </c>
      <c r="B32" s="26"/>
      <c r="C32" s="26"/>
      <c r="D32" s="30"/>
      <c r="E32" s="26"/>
      <c r="F32" s="27"/>
      <c r="G32" s="31"/>
      <c r="H32" s="26"/>
      <c r="I32" s="26"/>
      <c r="J32" s="30"/>
      <c r="K32" s="26"/>
      <c r="L32" s="27"/>
      <c r="M32" s="10" t="str">
        <f>"学年"&amp;M$1</f>
        <v>学年29</v>
      </c>
      <c r="N32" s="26"/>
      <c r="O32" s="26"/>
      <c r="P32" s="30"/>
      <c r="Q32" s="26"/>
      <c r="R32" s="27"/>
      <c r="S32" s="31"/>
      <c r="T32" s="26"/>
      <c r="U32" s="26"/>
      <c r="V32" s="30"/>
      <c r="W32" s="26"/>
      <c r="X32" s="27"/>
      <c r="Y32" s="10" t="str">
        <f>"学年"&amp;Y$1</f>
        <v>学年57</v>
      </c>
      <c r="Z32" s="26"/>
      <c r="AA32" s="26"/>
      <c r="AB32" s="30"/>
      <c r="AC32" s="26"/>
      <c r="AD32" s="27"/>
      <c r="AE32" s="31"/>
      <c r="AF32" s="26"/>
      <c r="AG32" s="26"/>
      <c r="AH32" s="30"/>
      <c r="AI32" s="26"/>
      <c r="AJ32" s="27"/>
      <c r="AK32" s="10" t="str">
        <f>"学年"&amp;AK$1</f>
        <v>学年85</v>
      </c>
      <c r="AL32" s="26"/>
      <c r="AM32" s="26"/>
      <c r="AN32" s="30"/>
      <c r="AO32" s="26"/>
      <c r="AP32" s="27"/>
      <c r="AQ32" s="31"/>
      <c r="AR32" s="26"/>
      <c r="AS32" s="26"/>
      <c r="AT32" s="30"/>
      <c r="AU32" s="26"/>
      <c r="AV32" s="27"/>
      <c r="AW32" s="10" t="str">
        <f>"学年"&amp;AW$1</f>
        <v>学年113</v>
      </c>
      <c r="AX32" s="26"/>
      <c r="AY32" s="26"/>
      <c r="AZ32" s="30"/>
      <c r="BA32" s="26"/>
      <c r="BB32" s="27"/>
      <c r="BC32" s="31"/>
      <c r="BD32" s="26"/>
      <c r="BE32" s="26"/>
      <c r="BF32" s="30"/>
      <c r="BG32" s="26"/>
      <c r="BH32" s="27"/>
      <c r="BI32" s="10" t="str">
        <f>"学年"&amp;BI$1</f>
        <v>学年141</v>
      </c>
      <c r="BJ32" s="26"/>
      <c r="BK32" s="26"/>
      <c r="BL32" s="30"/>
      <c r="BM32" s="26"/>
      <c r="BN32" s="27"/>
      <c r="BO32" s="31"/>
      <c r="BP32" s="26"/>
      <c r="BQ32" s="26"/>
      <c r="BR32" s="30"/>
      <c r="BS32" s="26"/>
      <c r="BT32" s="27"/>
      <c r="BU32" s="10" t="str">
        <f>"学年"&amp;BU$1</f>
        <v>学年169</v>
      </c>
      <c r="BV32" s="26"/>
      <c r="BW32" s="26"/>
      <c r="BX32" s="30"/>
      <c r="BY32" s="26"/>
      <c r="BZ32" s="27"/>
      <c r="CA32" s="31"/>
      <c r="CB32" s="26"/>
      <c r="CC32" s="26"/>
      <c r="CD32" s="30"/>
      <c r="CE32" s="26"/>
      <c r="CF32" s="27"/>
      <c r="CG32" s="10" t="str">
        <f>"学年"&amp;CG$1</f>
        <v>学年197</v>
      </c>
      <c r="CH32" s="26"/>
      <c r="CI32" s="26"/>
      <c r="CJ32" s="30"/>
      <c r="CK32" s="26"/>
      <c r="CL32" s="27"/>
      <c r="CM32" s="31"/>
      <c r="CN32" s="26"/>
      <c r="CO32" s="26"/>
      <c r="CP32" s="30"/>
      <c r="CQ32" s="26"/>
      <c r="CR32" s="27"/>
      <c r="CS32" s="10" t="str">
        <f>"学年"&amp;CS$1</f>
        <v>学年225</v>
      </c>
      <c r="CT32" s="26"/>
      <c r="CU32" s="26"/>
      <c r="CV32" s="30"/>
      <c r="CW32" s="26"/>
      <c r="CX32" s="27"/>
      <c r="CY32" s="31"/>
      <c r="CZ32" s="26"/>
      <c r="DA32" s="26"/>
      <c r="DB32" s="30"/>
      <c r="DC32" s="26"/>
      <c r="DD32" s="27"/>
      <c r="DE32" s="10" t="str">
        <f>"学年"&amp;DE$1</f>
        <v>学年253</v>
      </c>
      <c r="DF32" s="26"/>
      <c r="DG32" s="26"/>
      <c r="DH32" s="30"/>
      <c r="DI32" s="26"/>
      <c r="DJ32" s="27"/>
      <c r="DK32" s="31"/>
      <c r="DL32" s="26"/>
      <c r="DM32" s="26"/>
      <c r="DN32" s="30"/>
      <c r="DO32" s="26"/>
      <c r="DP32" s="27"/>
      <c r="DQ32" s="10" t="str">
        <f>"学年"&amp;DQ$1</f>
        <v>学年281</v>
      </c>
      <c r="DR32" s="26"/>
      <c r="DS32" s="26"/>
      <c r="DT32" s="30"/>
      <c r="DU32" s="26"/>
      <c r="DV32" s="27"/>
      <c r="DW32" s="31"/>
      <c r="DX32" s="26"/>
      <c r="DY32" s="26"/>
      <c r="DZ32" s="30"/>
      <c r="EA32" s="26"/>
      <c r="EB32" s="27"/>
      <c r="EC32" s="10" t="str">
        <f>"学年"&amp;EC$1</f>
        <v>学年309</v>
      </c>
      <c r="ED32" s="26"/>
      <c r="EE32" s="26"/>
      <c r="EF32" s="30"/>
      <c r="EG32" s="26"/>
      <c r="EH32" s="27"/>
      <c r="EI32" s="31"/>
      <c r="EJ32" s="26"/>
      <c r="EK32" s="26"/>
      <c r="EL32" s="30"/>
      <c r="EM32" s="26"/>
      <c r="EN32" s="27"/>
      <c r="EO32" s="10" t="str">
        <f>"学年"&amp;EO$1</f>
        <v>学年337</v>
      </c>
      <c r="EP32" s="26"/>
      <c r="EQ32" s="26"/>
      <c r="ER32" s="30"/>
      <c r="ES32" s="26"/>
      <c r="ET32" s="27"/>
      <c r="EU32" s="31"/>
      <c r="EV32" s="26"/>
      <c r="EW32" s="26"/>
      <c r="EX32" s="30"/>
      <c r="EY32" s="26"/>
      <c r="EZ32" s="27"/>
      <c r="FA32" s="10" t="str">
        <f>"学年"&amp;FA$1</f>
        <v>学年365</v>
      </c>
      <c r="FB32" s="26"/>
      <c r="FC32" s="26"/>
      <c r="FD32" s="30"/>
      <c r="FE32" s="26"/>
      <c r="FF32" s="27"/>
      <c r="FG32" s="31"/>
      <c r="FH32" s="26"/>
      <c r="FI32" s="26"/>
      <c r="FJ32" s="30"/>
      <c r="FK32" s="26"/>
      <c r="FL32" s="27"/>
      <c r="FM32" s="10" t="str">
        <f>"学年"&amp;FM$1</f>
        <v>学年393</v>
      </c>
      <c r="FN32" s="26"/>
      <c r="FO32" s="26"/>
      <c r="FP32" s="30"/>
      <c r="FQ32" s="26"/>
      <c r="FR32" s="27"/>
      <c r="FS32" s="31"/>
      <c r="FT32" s="26"/>
      <c r="FU32" s="26"/>
      <c r="FV32" s="30"/>
      <c r="FW32" s="26"/>
      <c r="FX32" s="27"/>
      <c r="FY32" s="10" t="str">
        <f>"学年"&amp;FY$1</f>
        <v>学年421</v>
      </c>
      <c r="FZ32" s="26"/>
      <c r="GA32" s="26"/>
      <c r="GB32" s="30"/>
      <c r="GC32" s="26"/>
      <c r="GD32" s="27"/>
      <c r="GE32" s="31"/>
      <c r="GF32" s="26"/>
      <c r="GG32" s="26"/>
      <c r="GH32" s="30"/>
      <c r="GI32" s="26"/>
      <c r="GJ32" s="27"/>
      <c r="GK32" s="10" t="str">
        <f>"学年"&amp;GK$1</f>
        <v>学年449</v>
      </c>
      <c r="GL32" s="26"/>
      <c r="GM32" s="26"/>
      <c r="GN32" s="30"/>
      <c r="GO32" s="26"/>
      <c r="GP32" s="27"/>
      <c r="GQ32" s="31"/>
      <c r="GR32" s="26"/>
      <c r="GS32" s="26"/>
      <c r="GT32" s="30"/>
      <c r="GU32" s="26"/>
      <c r="GV32" s="27"/>
      <c r="GW32" s="10" t="str">
        <f>"学年"&amp;GW$1</f>
        <v>学年477</v>
      </c>
      <c r="GX32" s="26"/>
      <c r="GY32" s="26"/>
      <c r="GZ32" s="30"/>
      <c r="HA32" s="26"/>
      <c r="HB32" s="27"/>
      <c r="HC32" s="31"/>
      <c r="HD32" s="26"/>
      <c r="HE32" s="26"/>
      <c r="HF32" s="30"/>
      <c r="HG32" s="26"/>
      <c r="HH32" s="27"/>
      <c r="HI32" s="10" t="str">
        <f>"学年"&amp;HI$1</f>
        <v>学年505</v>
      </c>
      <c r="HJ32" s="26"/>
      <c r="HK32" s="26"/>
      <c r="HL32" s="30"/>
      <c r="HM32" s="26"/>
      <c r="HN32" s="27"/>
      <c r="HO32" s="31"/>
      <c r="HP32" s="26"/>
      <c r="HQ32" s="26"/>
      <c r="HR32" s="30"/>
      <c r="HS32" s="26"/>
      <c r="HT32" s="27"/>
      <c r="HU32" s="3"/>
      <c r="HV32" s="3"/>
    </row>
    <row r="33" spans="1:230" ht="17.100000000000001" customHeight="1" x14ac:dyDescent="0.45">
      <c r="A33" s="10"/>
      <c r="B33" s="22">
        <f ca="1">OFFSET(Gemini抽出データ!$A$1,A29,3)</f>
        <v>0</v>
      </c>
      <c r="C33" s="23"/>
      <c r="D33" s="28"/>
      <c r="E33" s="22">
        <f ca="1">OFFSET(Gemini抽出データ!$A$1,D29,3)</f>
        <v>0</v>
      </c>
      <c r="F33" s="24"/>
      <c r="G33" s="29"/>
      <c r="H33" s="22">
        <f ca="1">OFFSET(Gemini抽出データ!$A$1,G29,3)</f>
        <v>0</v>
      </c>
      <c r="I33" s="23"/>
      <c r="J33" s="28"/>
      <c r="K33" s="22">
        <f ca="1">OFFSET(Gemini抽出データ!$A$1,J29,3)</f>
        <v>0</v>
      </c>
      <c r="L33" s="24"/>
      <c r="M33" s="10"/>
      <c r="N33" s="22">
        <f ca="1">OFFSET(Gemini抽出データ!$A$1,M29,3)</f>
        <v>0</v>
      </c>
      <c r="O33" s="23"/>
      <c r="P33" s="28"/>
      <c r="Q33" s="22">
        <f ca="1">OFFSET(Gemini抽出データ!$A$1,P29,3)</f>
        <v>0</v>
      </c>
      <c r="R33" s="24"/>
      <c r="S33" s="29"/>
      <c r="T33" s="22">
        <f ca="1">OFFSET(Gemini抽出データ!$A$1,S29,3)</f>
        <v>0</v>
      </c>
      <c r="U33" s="23"/>
      <c r="V33" s="28"/>
      <c r="W33" s="22">
        <f ca="1">OFFSET(Gemini抽出データ!$A$1,V29,3)</f>
        <v>0</v>
      </c>
      <c r="X33" s="24"/>
      <c r="Y33" s="10"/>
      <c r="Z33" s="22">
        <f ca="1">OFFSET(Gemini抽出データ!$A$1,Y29,3)</f>
        <v>0</v>
      </c>
      <c r="AA33" s="23"/>
      <c r="AB33" s="28"/>
      <c r="AC33" s="22">
        <f ca="1">OFFSET(Gemini抽出データ!$A$1,AB29,3)</f>
        <v>0</v>
      </c>
      <c r="AD33" s="24"/>
      <c r="AE33" s="29"/>
      <c r="AF33" s="22">
        <f ca="1">OFFSET(Gemini抽出データ!$A$1,AE29,3)</f>
        <v>0</v>
      </c>
      <c r="AG33" s="23"/>
      <c r="AH33" s="28"/>
      <c r="AI33" s="22">
        <f ca="1">OFFSET(Gemini抽出データ!$A$1,AH29,3)</f>
        <v>0</v>
      </c>
      <c r="AJ33" s="24"/>
      <c r="AK33" s="10"/>
      <c r="AL33" s="22">
        <f ca="1">OFFSET(Gemini抽出データ!$A$1,AK29,3)</f>
        <v>0</v>
      </c>
      <c r="AM33" s="23"/>
      <c r="AN33" s="28"/>
      <c r="AO33" s="22">
        <f ca="1">OFFSET(Gemini抽出データ!$A$1,AN29,3)</f>
        <v>0</v>
      </c>
      <c r="AP33" s="24"/>
      <c r="AQ33" s="29"/>
      <c r="AR33" s="22">
        <f ca="1">OFFSET(Gemini抽出データ!$A$1,AQ29,3)</f>
        <v>0</v>
      </c>
      <c r="AS33" s="23"/>
      <c r="AT33" s="28"/>
      <c r="AU33" s="22">
        <f ca="1">OFFSET(Gemini抽出データ!$A$1,AT29,3)</f>
        <v>0</v>
      </c>
      <c r="AV33" s="24"/>
      <c r="AW33" s="10"/>
      <c r="AX33" s="22">
        <f ca="1">OFFSET(Gemini抽出データ!$A$1,AW29,3)</f>
        <v>0</v>
      </c>
      <c r="AY33" s="23"/>
      <c r="AZ33" s="28"/>
      <c r="BA33" s="22">
        <f ca="1">OFFSET(Gemini抽出データ!$A$1,AZ29,3)</f>
        <v>0</v>
      </c>
      <c r="BB33" s="24"/>
      <c r="BC33" s="29"/>
      <c r="BD33" s="22">
        <f ca="1">OFFSET(Gemini抽出データ!$A$1,BC29,3)</f>
        <v>0</v>
      </c>
      <c r="BE33" s="23"/>
      <c r="BF33" s="28"/>
      <c r="BG33" s="22">
        <f ca="1">OFFSET(Gemini抽出データ!$A$1,BF29,3)</f>
        <v>0</v>
      </c>
      <c r="BH33" s="24"/>
      <c r="BI33" s="10"/>
      <c r="BJ33" s="22">
        <f ca="1">OFFSET(Gemini抽出データ!$A$1,BI29,3)</f>
        <v>0</v>
      </c>
      <c r="BK33" s="23"/>
      <c r="BL33" s="28"/>
      <c r="BM33" s="22">
        <f ca="1">OFFSET(Gemini抽出データ!$A$1,BL29,3)</f>
        <v>0</v>
      </c>
      <c r="BN33" s="24"/>
      <c r="BO33" s="29"/>
      <c r="BP33" s="22">
        <f ca="1">OFFSET(Gemini抽出データ!$A$1,BO29,3)</f>
        <v>0</v>
      </c>
      <c r="BQ33" s="23"/>
      <c r="BR33" s="28"/>
      <c r="BS33" s="22">
        <f ca="1">OFFSET(Gemini抽出データ!$A$1,BR29,3)</f>
        <v>0</v>
      </c>
      <c r="BT33" s="24"/>
      <c r="BU33" s="10"/>
      <c r="BV33" s="22">
        <f ca="1">OFFSET(Gemini抽出データ!$A$1,BU29,3)</f>
        <v>0</v>
      </c>
      <c r="BW33" s="23"/>
      <c r="BX33" s="28"/>
      <c r="BY33" s="22">
        <f ca="1">OFFSET(Gemini抽出データ!$A$1,BX29,3)</f>
        <v>0</v>
      </c>
      <c r="BZ33" s="24"/>
      <c r="CA33" s="29"/>
      <c r="CB33" s="22">
        <f ca="1">OFFSET(Gemini抽出データ!$A$1,CA29,3)</f>
        <v>0</v>
      </c>
      <c r="CC33" s="23"/>
      <c r="CD33" s="28"/>
      <c r="CE33" s="22">
        <f ca="1">OFFSET(Gemini抽出データ!$A$1,CD29,3)</f>
        <v>0</v>
      </c>
      <c r="CF33" s="24"/>
      <c r="CG33" s="10"/>
      <c r="CH33" s="22">
        <f ca="1">OFFSET(Gemini抽出データ!$A$1,CG29,3)</f>
        <v>0</v>
      </c>
      <c r="CI33" s="23"/>
      <c r="CJ33" s="28"/>
      <c r="CK33" s="22">
        <f ca="1">OFFSET(Gemini抽出データ!$A$1,CJ29,3)</f>
        <v>0</v>
      </c>
      <c r="CL33" s="24"/>
      <c r="CM33" s="29"/>
      <c r="CN33" s="22">
        <f ca="1">OFFSET(Gemini抽出データ!$A$1,CM29,3)</f>
        <v>0</v>
      </c>
      <c r="CO33" s="23"/>
      <c r="CP33" s="28"/>
      <c r="CQ33" s="22">
        <f ca="1">OFFSET(Gemini抽出データ!$A$1,CP29,3)</f>
        <v>0</v>
      </c>
      <c r="CR33" s="24"/>
      <c r="CS33" s="10"/>
      <c r="CT33" s="22">
        <f ca="1">OFFSET(Gemini抽出データ!$A$1,CS29,3)</f>
        <v>0</v>
      </c>
      <c r="CU33" s="23"/>
      <c r="CV33" s="28"/>
      <c r="CW33" s="22">
        <f ca="1">OFFSET(Gemini抽出データ!$A$1,CV29,3)</f>
        <v>0</v>
      </c>
      <c r="CX33" s="24"/>
      <c r="CY33" s="29"/>
      <c r="CZ33" s="22">
        <f ca="1">OFFSET(Gemini抽出データ!$A$1,CY29,3)</f>
        <v>0</v>
      </c>
      <c r="DA33" s="23"/>
      <c r="DB33" s="28"/>
      <c r="DC33" s="22">
        <f ca="1">OFFSET(Gemini抽出データ!$A$1,DB29,3)</f>
        <v>0</v>
      </c>
      <c r="DD33" s="24"/>
      <c r="DE33" s="10"/>
      <c r="DF33" s="22">
        <f ca="1">OFFSET(Gemini抽出データ!$A$1,DE29,3)</f>
        <v>0</v>
      </c>
      <c r="DG33" s="23"/>
      <c r="DH33" s="28"/>
      <c r="DI33" s="22">
        <f ca="1">OFFSET(Gemini抽出データ!$A$1,DH29,3)</f>
        <v>0</v>
      </c>
      <c r="DJ33" s="24"/>
      <c r="DK33" s="29"/>
      <c r="DL33" s="22">
        <f ca="1">OFFSET(Gemini抽出データ!$A$1,DK29,3)</f>
        <v>0</v>
      </c>
      <c r="DM33" s="23"/>
      <c r="DN33" s="28"/>
      <c r="DO33" s="22">
        <f ca="1">OFFSET(Gemini抽出データ!$A$1,DN29,3)</f>
        <v>0</v>
      </c>
      <c r="DP33" s="24"/>
      <c r="DQ33" s="10"/>
      <c r="DR33" s="22">
        <f ca="1">OFFSET(Gemini抽出データ!$A$1,DQ29,3)</f>
        <v>0</v>
      </c>
      <c r="DS33" s="23"/>
      <c r="DT33" s="28"/>
      <c r="DU33" s="22">
        <f ca="1">OFFSET(Gemini抽出データ!$A$1,DT29,3)</f>
        <v>0</v>
      </c>
      <c r="DV33" s="24"/>
      <c r="DW33" s="29"/>
      <c r="DX33" s="22">
        <f ca="1">OFFSET(Gemini抽出データ!$A$1,DW29,3)</f>
        <v>0</v>
      </c>
      <c r="DY33" s="23"/>
      <c r="DZ33" s="28"/>
      <c r="EA33" s="22">
        <f ca="1">OFFSET(Gemini抽出データ!$A$1,DZ29,3)</f>
        <v>0</v>
      </c>
      <c r="EB33" s="24"/>
      <c r="EC33" s="10"/>
      <c r="ED33" s="22">
        <f ca="1">OFFSET(Gemini抽出データ!$A$1,EC29,3)</f>
        <v>0</v>
      </c>
      <c r="EE33" s="23"/>
      <c r="EF33" s="28"/>
      <c r="EG33" s="22">
        <f ca="1">OFFSET(Gemini抽出データ!$A$1,EF29,3)</f>
        <v>0</v>
      </c>
      <c r="EH33" s="24"/>
      <c r="EI33" s="29"/>
      <c r="EJ33" s="22">
        <f ca="1">OFFSET(Gemini抽出データ!$A$1,EI29,3)</f>
        <v>0</v>
      </c>
      <c r="EK33" s="23"/>
      <c r="EL33" s="28"/>
      <c r="EM33" s="22">
        <f ca="1">OFFSET(Gemini抽出データ!$A$1,EL29,3)</f>
        <v>0</v>
      </c>
      <c r="EN33" s="24"/>
      <c r="EO33" s="10"/>
      <c r="EP33" s="22">
        <f ca="1">OFFSET(Gemini抽出データ!$A$1,EO29,3)</f>
        <v>0</v>
      </c>
      <c r="EQ33" s="23"/>
      <c r="ER33" s="28"/>
      <c r="ES33" s="22">
        <f ca="1">OFFSET(Gemini抽出データ!$A$1,ER29,3)</f>
        <v>0</v>
      </c>
      <c r="ET33" s="24"/>
      <c r="EU33" s="29"/>
      <c r="EV33" s="22">
        <f ca="1">OFFSET(Gemini抽出データ!$A$1,EU29,3)</f>
        <v>0</v>
      </c>
      <c r="EW33" s="23"/>
      <c r="EX33" s="28"/>
      <c r="EY33" s="22">
        <f ca="1">OFFSET(Gemini抽出データ!$A$1,EX29,3)</f>
        <v>0</v>
      </c>
      <c r="EZ33" s="24"/>
      <c r="FA33" s="10"/>
      <c r="FB33" s="22">
        <f ca="1">OFFSET(Gemini抽出データ!$A$1,FA29,3)</f>
        <v>0</v>
      </c>
      <c r="FC33" s="23"/>
      <c r="FD33" s="28"/>
      <c r="FE33" s="22">
        <f ca="1">OFFSET(Gemini抽出データ!$A$1,FD29,3)</f>
        <v>0</v>
      </c>
      <c r="FF33" s="24"/>
      <c r="FG33" s="29"/>
      <c r="FH33" s="22">
        <f ca="1">OFFSET(Gemini抽出データ!$A$1,FG29,3)</f>
        <v>0</v>
      </c>
      <c r="FI33" s="23"/>
      <c r="FJ33" s="28"/>
      <c r="FK33" s="22">
        <f ca="1">OFFSET(Gemini抽出データ!$A$1,FJ29,3)</f>
        <v>0</v>
      </c>
      <c r="FL33" s="24"/>
      <c r="FM33" s="10"/>
      <c r="FN33" s="22">
        <f ca="1">OFFSET(Gemini抽出データ!$A$1,FM29,3)</f>
        <v>0</v>
      </c>
      <c r="FO33" s="23"/>
      <c r="FP33" s="28"/>
      <c r="FQ33" s="22">
        <f ca="1">OFFSET(Gemini抽出データ!$A$1,FP29,3)</f>
        <v>0</v>
      </c>
      <c r="FR33" s="24"/>
      <c r="FS33" s="29"/>
      <c r="FT33" s="22">
        <f ca="1">OFFSET(Gemini抽出データ!$A$1,FS29,3)</f>
        <v>0</v>
      </c>
      <c r="FU33" s="23"/>
      <c r="FV33" s="28"/>
      <c r="FW33" s="22">
        <f ca="1">OFFSET(Gemini抽出データ!$A$1,FV29,3)</f>
        <v>0</v>
      </c>
      <c r="FX33" s="24"/>
      <c r="FY33" s="10"/>
      <c r="FZ33" s="22">
        <f ca="1">OFFSET(Gemini抽出データ!$A$1,FY29,3)</f>
        <v>0</v>
      </c>
      <c r="GA33" s="23"/>
      <c r="GB33" s="28"/>
      <c r="GC33" s="22">
        <f ca="1">OFFSET(Gemini抽出データ!$A$1,GB29,3)</f>
        <v>0</v>
      </c>
      <c r="GD33" s="24"/>
      <c r="GE33" s="29"/>
      <c r="GF33" s="22">
        <f ca="1">OFFSET(Gemini抽出データ!$A$1,GE29,3)</f>
        <v>0</v>
      </c>
      <c r="GG33" s="23"/>
      <c r="GH33" s="28"/>
      <c r="GI33" s="22">
        <f ca="1">OFFSET(Gemini抽出データ!$A$1,GH29,3)</f>
        <v>0</v>
      </c>
      <c r="GJ33" s="24"/>
      <c r="GK33" s="10"/>
      <c r="GL33" s="22">
        <f ca="1">OFFSET(Gemini抽出データ!$A$1,GK29,3)</f>
        <v>0</v>
      </c>
      <c r="GM33" s="23"/>
      <c r="GN33" s="28"/>
      <c r="GO33" s="22">
        <f ca="1">OFFSET(Gemini抽出データ!$A$1,GN29,3)</f>
        <v>0</v>
      </c>
      <c r="GP33" s="24"/>
      <c r="GQ33" s="29"/>
      <c r="GR33" s="22">
        <f ca="1">OFFSET(Gemini抽出データ!$A$1,GQ29,3)</f>
        <v>0</v>
      </c>
      <c r="GS33" s="23"/>
      <c r="GT33" s="28"/>
      <c r="GU33" s="22">
        <f ca="1">OFFSET(Gemini抽出データ!$A$1,GT29,3)</f>
        <v>0</v>
      </c>
      <c r="GV33" s="24"/>
      <c r="GW33" s="10"/>
      <c r="GX33" s="22">
        <f ca="1">OFFSET(Gemini抽出データ!$A$1,GW29,3)</f>
        <v>0</v>
      </c>
      <c r="GY33" s="23"/>
      <c r="GZ33" s="28"/>
      <c r="HA33" s="22">
        <f ca="1">OFFSET(Gemini抽出データ!$A$1,GZ29,3)</f>
        <v>0</v>
      </c>
      <c r="HB33" s="24"/>
      <c r="HC33" s="29"/>
      <c r="HD33" s="22">
        <f ca="1">OFFSET(Gemini抽出データ!$A$1,HC29,3)</f>
        <v>0</v>
      </c>
      <c r="HE33" s="23"/>
      <c r="HF33" s="28"/>
      <c r="HG33" s="22">
        <f ca="1">OFFSET(Gemini抽出データ!$A$1,HF29,3)</f>
        <v>0</v>
      </c>
      <c r="HH33" s="24"/>
      <c r="HI33" s="10"/>
      <c r="HJ33" s="22">
        <f ca="1">OFFSET(Gemini抽出データ!$A$1,HI29,3)</f>
        <v>0</v>
      </c>
      <c r="HK33" s="23"/>
      <c r="HL33" s="28"/>
      <c r="HM33" s="22">
        <f ca="1">OFFSET(Gemini抽出データ!$A$1,HL29,3)</f>
        <v>0</v>
      </c>
      <c r="HN33" s="24"/>
      <c r="HO33" s="29"/>
      <c r="HP33" s="22">
        <f ca="1">OFFSET(Gemini抽出データ!$A$1,HO29,3)</f>
        <v>0</v>
      </c>
      <c r="HQ33" s="23"/>
      <c r="HR33" s="28"/>
      <c r="HS33" s="22">
        <f ca="1">OFFSET(Gemini抽出データ!$A$1,HR29,3)</f>
        <v>0</v>
      </c>
      <c r="HT33" s="24"/>
      <c r="HU33" s="2" t="e">
        <f ca="1">OFFSET(Gemini抽出データ!$A$1,#REF!,3)</f>
        <v>#REF!</v>
      </c>
      <c r="HV33" s="3"/>
    </row>
    <row r="34" spans="1:230" ht="17.100000000000001" customHeight="1" x14ac:dyDescent="0.45">
      <c r="A34" s="10"/>
      <c r="B34" s="23"/>
      <c r="C34" s="23"/>
      <c r="D34" s="28" t="str">
        <f>"クラス"&amp;D$1</f>
        <v>クラス2</v>
      </c>
      <c r="E34" s="23"/>
      <c r="F34" s="24"/>
      <c r="G34" s="29" t="str">
        <f>"クラス"&amp;G$1</f>
        <v>クラス3</v>
      </c>
      <c r="H34" s="23"/>
      <c r="I34" s="23"/>
      <c r="J34" s="28" t="str">
        <f>"クラス"&amp;J$1</f>
        <v>クラス4</v>
      </c>
      <c r="K34" s="23"/>
      <c r="L34" s="24"/>
      <c r="M34" s="10"/>
      <c r="N34" s="23"/>
      <c r="O34" s="23"/>
      <c r="P34" s="28" t="str">
        <f>"クラス"&amp;P$1</f>
        <v>クラス30</v>
      </c>
      <c r="Q34" s="23"/>
      <c r="R34" s="24"/>
      <c r="S34" s="29" t="str">
        <f>"クラス"&amp;S$1</f>
        <v>クラス31</v>
      </c>
      <c r="T34" s="23"/>
      <c r="U34" s="23"/>
      <c r="V34" s="28" t="str">
        <f>"クラス"&amp;V$1</f>
        <v>クラス32</v>
      </c>
      <c r="W34" s="23"/>
      <c r="X34" s="24"/>
      <c r="Y34" s="10"/>
      <c r="Z34" s="23"/>
      <c r="AA34" s="23"/>
      <c r="AB34" s="28" t="str">
        <f>"クラス"&amp;AB$1</f>
        <v>クラス58</v>
      </c>
      <c r="AC34" s="23"/>
      <c r="AD34" s="24"/>
      <c r="AE34" s="29" t="str">
        <f>"クラス"&amp;AE$1</f>
        <v>クラス59</v>
      </c>
      <c r="AF34" s="23"/>
      <c r="AG34" s="23"/>
      <c r="AH34" s="28" t="str">
        <f>"クラス"&amp;AH$1</f>
        <v>クラス60</v>
      </c>
      <c r="AI34" s="23"/>
      <c r="AJ34" s="24"/>
      <c r="AK34" s="10"/>
      <c r="AL34" s="23"/>
      <c r="AM34" s="23"/>
      <c r="AN34" s="28" t="str">
        <f>"クラス"&amp;AN$1</f>
        <v>クラス86</v>
      </c>
      <c r="AO34" s="23"/>
      <c r="AP34" s="24"/>
      <c r="AQ34" s="29" t="str">
        <f>"クラス"&amp;AQ$1</f>
        <v>クラス87</v>
      </c>
      <c r="AR34" s="23"/>
      <c r="AS34" s="23"/>
      <c r="AT34" s="28" t="str">
        <f>"クラス"&amp;AT$1</f>
        <v>クラス88</v>
      </c>
      <c r="AU34" s="23"/>
      <c r="AV34" s="24"/>
      <c r="AW34" s="10"/>
      <c r="AX34" s="23"/>
      <c r="AY34" s="23"/>
      <c r="AZ34" s="28" t="str">
        <f>"クラス"&amp;AZ$1</f>
        <v>クラス114</v>
      </c>
      <c r="BA34" s="23"/>
      <c r="BB34" s="24"/>
      <c r="BC34" s="29" t="str">
        <f>"クラス"&amp;BC$1</f>
        <v>クラス115</v>
      </c>
      <c r="BD34" s="23"/>
      <c r="BE34" s="23"/>
      <c r="BF34" s="28" t="str">
        <f>"クラス"&amp;BF$1</f>
        <v>クラス116</v>
      </c>
      <c r="BG34" s="23"/>
      <c r="BH34" s="24"/>
      <c r="BI34" s="10"/>
      <c r="BJ34" s="23"/>
      <c r="BK34" s="23"/>
      <c r="BL34" s="28" t="str">
        <f>"クラス"&amp;BL$1</f>
        <v>クラス142</v>
      </c>
      <c r="BM34" s="23"/>
      <c r="BN34" s="24"/>
      <c r="BO34" s="29" t="str">
        <f>"クラス"&amp;BO$1</f>
        <v>クラス143</v>
      </c>
      <c r="BP34" s="23"/>
      <c r="BQ34" s="23"/>
      <c r="BR34" s="28" t="str">
        <f>"クラス"&amp;BR$1</f>
        <v>クラス144</v>
      </c>
      <c r="BS34" s="23"/>
      <c r="BT34" s="24"/>
      <c r="BU34" s="10"/>
      <c r="BV34" s="23"/>
      <c r="BW34" s="23"/>
      <c r="BX34" s="28" t="str">
        <f>"クラス"&amp;BX$1</f>
        <v>クラス170</v>
      </c>
      <c r="BY34" s="23"/>
      <c r="BZ34" s="24"/>
      <c r="CA34" s="29" t="str">
        <f>"クラス"&amp;CA$1</f>
        <v>クラス171</v>
      </c>
      <c r="CB34" s="23"/>
      <c r="CC34" s="23"/>
      <c r="CD34" s="28" t="str">
        <f>"クラス"&amp;CD$1</f>
        <v>クラス172</v>
      </c>
      <c r="CE34" s="23"/>
      <c r="CF34" s="24"/>
      <c r="CG34" s="10"/>
      <c r="CH34" s="23"/>
      <c r="CI34" s="23"/>
      <c r="CJ34" s="28" t="str">
        <f>"クラス"&amp;CJ$1</f>
        <v>クラス198</v>
      </c>
      <c r="CK34" s="23"/>
      <c r="CL34" s="24"/>
      <c r="CM34" s="29" t="str">
        <f>"クラス"&amp;CM$1</f>
        <v>クラス199</v>
      </c>
      <c r="CN34" s="23"/>
      <c r="CO34" s="23"/>
      <c r="CP34" s="28" t="str">
        <f>"クラス"&amp;CP$1</f>
        <v>クラス200</v>
      </c>
      <c r="CQ34" s="23"/>
      <c r="CR34" s="24"/>
      <c r="CS34" s="10"/>
      <c r="CT34" s="23"/>
      <c r="CU34" s="23"/>
      <c r="CV34" s="28" t="str">
        <f>"クラス"&amp;CV$1</f>
        <v>クラス226</v>
      </c>
      <c r="CW34" s="23"/>
      <c r="CX34" s="24"/>
      <c r="CY34" s="29" t="str">
        <f>"クラス"&amp;CY$1</f>
        <v>クラス227</v>
      </c>
      <c r="CZ34" s="23"/>
      <c r="DA34" s="23"/>
      <c r="DB34" s="28" t="str">
        <f>"クラス"&amp;DB$1</f>
        <v>クラス228</v>
      </c>
      <c r="DC34" s="23"/>
      <c r="DD34" s="24"/>
      <c r="DE34" s="10"/>
      <c r="DF34" s="23"/>
      <c r="DG34" s="23"/>
      <c r="DH34" s="28" t="str">
        <f>"クラス"&amp;DH$1</f>
        <v>クラス254</v>
      </c>
      <c r="DI34" s="23"/>
      <c r="DJ34" s="24"/>
      <c r="DK34" s="29" t="str">
        <f>"クラス"&amp;DK$1</f>
        <v>クラス255</v>
      </c>
      <c r="DL34" s="23"/>
      <c r="DM34" s="23"/>
      <c r="DN34" s="28" t="str">
        <f>"クラス"&amp;DN$1</f>
        <v>クラス256</v>
      </c>
      <c r="DO34" s="23"/>
      <c r="DP34" s="24"/>
      <c r="DQ34" s="10"/>
      <c r="DR34" s="23"/>
      <c r="DS34" s="23"/>
      <c r="DT34" s="28" t="str">
        <f>"クラス"&amp;DT$1</f>
        <v>クラス282</v>
      </c>
      <c r="DU34" s="23"/>
      <c r="DV34" s="24"/>
      <c r="DW34" s="29" t="str">
        <f>"クラス"&amp;DW$1</f>
        <v>クラス283</v>
      </c>
      <c r="DX34" s="23"/>
      <c r="DY34" s="23"/>
      <c r="DZ34" s="28" t="str">
        <f>"クラス"&amp;DZ$1</f>
        <v>クラス284</v>
      </c>
      <c r="EA34" s="23"/>
      <c r="EB34" s="24"/>
      <c r="EC34" s="10"/>
      <c r="ED34" s="23"/>
      <c r="EE34" s="23"/>
      <c r="EF34" s="28" t="str">
        <f>"クラス"&amp;EF$1</f>
        <v>クラス310</v>
      </c>
      <c r="EG34" s="23"/>
      <c r="EH34" s="24"/>
      <c r="EI34" s="29" t="str">
        <f>"クラス"&amp;EI$1</f>
        <v>クラス311</v>
      </c>
      <c r="EJ34" s="23"/>
      <c r="EK34" s="23"/>
      <c r="EL34" s="28" t="str">
        <f>"クラス"&amp;EL$1</f>
        <v>クラス312</v>
      </c>
      <c r="EM34" s="23"/>
      <c r="EN34" s="24"/>
      <c r="EO34" s="10"/>
      <c r="EP34" s="23"/>
      <c r="EQ34" s="23"/>
      <c r="ER34" s="28" t="str">
        <f>"クラス"&amp;ER$1</f>
        <v>クラス338</v>
      </c>
      <c r="ES34" s="23"/>
      <c r="ET34" s="24"/>
      <c r="EU34" s="29" t="str">
        <f>"クラス"&amp;EU$1</f>
        <v>クラス339</v>
      </c>
      <c r="EV34" s="23"/>
      <c r="EW34" s="23"/>
      <c r="EX34" s="28" t="str">
        <f>"クラス"&amp;EX$1</f>
        <v>クラス340</v>
      </c>
      <c r="EY34" s="23"/>
      <c r="EZ34" s="24"/>
      <c r="FA34" s="10"/>
      <c r="FB34" s="23"/>
      <c r="FC34" s="23"/>
      <c r="FD34" s="28" t="str">
        <f>"クラス"&amp;FD$1</f>
        <v>クラス366</v>
      </c>
      <c r="FE34" s="23"/>
      <c r="FF34" s="24"/>
      <c r="FG34" s="29" t="str">
        <f>"クラス"&amp;FG$1</f>
        <v>クラス367</v>
      </c>
      <c r="FH34" s="23"/>
      <c r="FI34" s="23"/>
      <c r="FJ34" s="28" t="str">
        <f>"クラス"&amp;FJ$1</f>
        <v>クラス368</v>
      </c>
      <c r="FK34" s="23"/>
      <c r="FL34" s="24"/>
      <c r="FM34" s="10"/>
      <c r="FN34" s="23"/>
      <c r="FO34" s="23"/>
      <c r="FP34" s="28" t="str">
        <f>"クラス"&amp;FP$1</f>
        <v>クラス394</v>
      </c>
      <c r="FQ34" s="23"/>
      <c r="FR34" s="24"/>
      <c r="FS34" s="29" t="str">
        <f>"クラス"&amp;FS$1</f>
        <v>クラス395</v>
      </c>
      <c r="FT34" s="23"/>
      <c r="FU34" s="23"/>
      <c r="FV34" s="28" t="str">
        <f>"クラス"&amp;FV$1</f>
        <v>クラス396</v>
      </c>
      <c r="FW34" s="23"/>
      <c r="FX34" s="24"/>
      <c r="FY34" s="10"/>
      <c r="FZ34" s="23"/>
      <c r="GA34" s="23"/>
      <c r="GB34" s="28" t="str">
        <f>"クラス"&amp;GB$1</f>
        <v>クラス422</v>
      </c>
      <c r="GC34" s="23"/>
      <c r="GD34" s="24"/>
      <c r="GE34" s="29" t="str">
        <f>"クラス"&amp;GE$1</f>
        <v>クラス423</v>
      </c>
      <c r="GF34" s="23"/>
      <c r="GG34" s="23"/>
      <c r="GH34" s="28" t="str">
        <f>"クラス"&amp;GH$1</f>
        <v>クラス424</v>
      </c>
      <c r="GI34" s="23"/>
      <c r="GJ34" s="24"/>
      <c r="GK34" s="10"/>
      <c r="GL34" s="23"/>
      <c r="GM34" s="23"/>
      <c r="GN34" s="28" t="str">
        <f>"クラス"&amp;GN$1</f>
        <v>クラス450</v>
      </c>
      <c r="GO34" s="23"/>
      <c r="GP34" s="24"/>
      <c r="GQ34" s="29" t="str">
        <f>"クラス"&amp;GQ$1</f>
        <v>クラス451</v>
      </c>
      <c r="GR34" s="23"/>
      <c r="GS34" s="23"/>
      <c r="GT34" s="28" t="str">
        <f>"クラス"&amp;GT$1</f>
        <v>クラス452</v>
      </c>
      <c r="GU34" s="23"/>
      <c r="GV34" s="24"/>
      <c r="GW34" s="10"/>
      <c r="GX34" s="23"/>
      <c r="GY34" s="23"/>
      <c r="GZ34" s="28" t="str">
        <f>"クラス"&amp;GZ$1</f>
        <v>クラス478</v>
      </c>
      <c r="HA34" s="23"/>
      <c r="HB34" s="24"/>
      <c r="HC34" s="29" t="str">
        <f>"クラス"&amp;HC$1</f>
        <v>クラス479</v>
      </c>
      <c r="HD34" s="23"/>
      <c r="HE34" s="23"/>
      <c r="HF34" s="28" t="str">
        <f>"クラス"&amp;HF$1</f>
        <v>クラス480</v>
      </c>
      <c r="HG34" s="23"/>
      <c r="HH34" s="24"/>
      <c r="HI34" s="10"/>
      <c r="HJ34" s="23"/>
      <c r="HK34" s="23"/>
      <c r="HL34" s="28" t="str">
        <f>"クラス"&amp;HL$1</f>
        <v>クラス506</v>
      </c>
      <c r="HM34" s="23"/>
      <c r="HN34" s="24"/>
      <c r="HO34" s="29" t="str">
        <f>"クラス"&amp;HO$1</f>
        <v>クラス507</v>
      </c>
      <c r="HP34" s="23"/>
      <c r="HQ34" s="23"/>
      <c r="HR34" s="28" t="str">
        <f>"クラス"&amp;HR$1</f>
        <v>クラス508</v>
      </c>
      <c r="HS34" s="23"/>
      <c r="HT34" s="24"/>
      <c r="HU34" s="3"/>
      <c r="HV34" s="3"/>
    </row>
    <row r="35" spans="1:230" ht="17.100000000000001" customHeight="1" x14ac:dyDescent="0.45">
      <c r="A35" s="10" t="str">
        <f>"クラス"&amp;A$1</f>
        <v>クラス1</v>
      </c>
      <c r="B35" s="11">
        <f ca="1">OFFSET(Gemini抽出データ!$A$1,A29,4)</f>
        <v>0</v>
      </c>
      <c r="C35" s="11" t="str">
        <f ca="1">IF(OFFSET(Gemini抽出データ!$A$1,A29,5)=0,"",OFFSET(Gemini抽出データ!$A$1,A29,5))</f>
        <v/>
      </c>
      <c r="D35" s="10" t="str">
        <f>A35</f>
        <v>クラス1</v>
      </c>
      <c r="E35" s="11">
        <f ca="1">OFFSET(Gemini抽出データ!$A$1,D29,4)</f>
        <v>0</v>
      </c>
      <c r="F35" s="12" t="str">
        <f ca="1">IF(OFFSET(Gemini抽出データ!$A$1,D29,5)=0,"",OFFSET(Gemini抽出データ!$A$1,D29,5))</f>
        <v/>
      </c>
      <c r="G35" s="13" t="str">
        <f>A35</f>
        <v>クラス1</v>
      </c>
      <c r="H35" s="11">
        <f ca="1">OFFSET(Gemini抽出データ!$A$1,G29,4)</f>
        <v>0</v>
      </c>
      <c r="I35" s="11" t="str">
        <f ca="1">IF(OFFSET(Gemini抽出データ!$A$1,G29,5)=0,"",OFFSET(Gemini抽出データ!$A$1,G29,5))</f>
        <v/>
      </c>
      <c r="J35" s="10" t="str">
        <f>G35</f>
        <v>クラス1</v>
      </c>
      <c r="K35" s="11">
        <f ca="1">OFFSET(Gemini抽出データ!$A$1,J29,4)</f>
        <v>0</v>
      </c>
      <c r="L35" s="12" t="str">
        <f ca="1">IF(OFFSET(Gemini抽出データ!$A$1,J29,5)=0,"",OFFSET(Gemini抽出データ!$A$1,J29,5))</f>
        <v/>
      </c>
      <c r="M35" s="10" t="str">
        <f>"クラス"&amp;M$1</f>
        <v>クラス29</v>
      </c>
      <c r="N35" s="11">
        <f ca="1">OFFSET(Gemini抽出データ!$A$1,M29,4)</f>
        <v>0</v>
      </c>
      <c r="O35" s="11" t="str">
        <f ca="1">IF(OFFSET(Gemini抽出データ!$A$1,M29,5)=0,"",OFFSET(Gemini抽出データ!$A$1,M29,5))</f>
        <v/>
      </c>
      <c r="P35" s="10" t="str">
        <f>M35</f>
        <v>クラス29</v>
      </c>
      <c r="Q35" s="11">
        <f ca="1">OFFSET(Gemini抽出データ!$A$1,P29,4)</f>
        <v>0</v>
      </c>
      <c r="R35" s="12" t="str">
        <f ca="1">IF(OFFSET(Gemini抽出データ!$A$1,P29,5)=0,"",OFFSET(Gemini抽出データ!$A$1,P29,5))</f>
        <v/>
      </c>
      <c r="S35" s="13" t="str">
        <f>M35</f>
        <v>クラス29</v>
      </c>
      <c r="T35" s="11">
        <f ca="1">OFFSET(Gemini抽出データ!$A$1,S29,4)</f>
        <v>0</v>
      </c>
      <c r="U35" s="11" t="str">
        <f ca="1">IF(OFFSET(Gemini抽出データ!$A$1,S29,5)=0,"",OFFSET(Gemini抽出データ!$A$1,S29,5))</f>
        <v/>
      </c>
      <c r="V35" s="10" t="str">
        <f>S35</f>
        <v>クラス29</v>
      </c>
      <c r="W35" s="11">
        <f ca="1">OFFSET(Gemini抽出データ!$A$1,V29,4)</f>
        <v>0</v>
      </c>
      <c r="X35" s="12" t="str">
        <f ca="1">IF(OFFSET(Gemini抽出データ!$A$1,V29,5)=0,"",OFFSET(Gemini抽出データ!$A$1,V29,5))</f>
        <v/>
      </c>
      <c r="Y35" s="10" t="str">
        <f>"クラス"&amp;Y$1</f>
        <v>クラス57</v>
      </c>
      <c r="Z35" s="11">
        <f ca="1">OFFSET(Gemini抽出データ!$A$1,Y29,4)</f>
        <v>0</v>
      </c>
      <c r="AA35" s="11" t="str">
        <f ca="1">IF(OFFSET(Gemini抽出データ!$A$1,Y29,5)=0,"",OFFSET(Gemini抽出データ!$A$1,Y29,5))</f>
        <v/>
      </c>
      <c r="AB35" s="10" t="str">
        <f>Y35</f>
        <v>クラス57</v>
      </c>
      <c r="AC35" s="11">
        <f ca="1">OFFSET(Gemini抽出データ!$A$1,AB29,4)</f>
        <v>0</v>
      </c>
      <c r="AD35" s="12" t="str">
        <f ca="1">IF(OFFSET(Gemini抽出データ!$A$1,AB29,5)=0,"",OFFSET(Gemini抽出データ!$A$1,AB29,5))</f>
        <v/>
      </c>
      <c r="AE35" s="13" t="str">
        <f>Y35</f>
        <v>クラス57</v>
      </c>
      <c r="AF35" s="11">
        <f ca="1">OFFSET(Gemini抽出データ!$A$1,AE29,4)</f>
        <v>0</v>
      </c>
      <c r="AG35" s="11" t="str">
        <f ca="1">IF(OFFSET(Gemini抽出データ!$A$1,AE29,5)=0,"",OFFSET(Gemini抽出データ!$A$1,AE29,5))</f>
        <v/>
      </c>
      <c r="AH35" s="10" t="str">
        <f>AE35</f>
        <v>クラス57</v>
      </c>
      <c r="AI35" s="11">
        <f ca="1">OFFSET(Gemini抽出データ!$A$1,AH29,4)</f>
        <v>0</v>
      </c>
      <c r="AJ35" s="12" t="str">
        <f ca="1">IF(OFFSET(Gemini抽出データ!$A$1,AH29,5)=0,"",OFFSET(Gemini抽出データ!$A$1,AH29,5))</f>
        <v/>
      </c>
      <c r="AK35" s="10" t="str">
        <f>"クラス"&amp;AK$1</f>
        <v>クラス85</v>
      </c>
      <c r="AL35" s="11">
        <f ca="1">OFFSET(Gemini抽出データ!$A$1,AK29,4)</f>
        <v>0</v>
      </c>
      <c r="AM35" s="11" t="str">
        <f ca="1">IF(OFFSET(Gemini抽出データ!$A$1,AK29,5)=0,"",OFFSET(Gemini抽出データ!$A$1,AK29,5))</f>
        <v/>
      </c>
      <c r="AN35" s="10" t="str">
        <f>AK35</f>
        <v>クラス85</v>
      </c>
      <c r="AO35" s="11">
        <f ca="1">OFFSET(Gemini抽出データ!$A$1,AN29,4)</f>
        <v>0</v>
      </c>
      <c r="AP35" s="12" t="str">
        <f ca="1">IF(OFFSET(Gemini抽出データ!$A$1,AN29,5)=0,"",OFFSET(Gemini抽出データ!$A$1,AN29,5))</f>
        <v/>
      </c>
      <c r="AQ35" s="13" t="str">
        <f>AK35</f>
        <v>クラス85</v>
      </c>
      <c r="AR35" s="11">
        <f ca="1">OFFSET(Gemini抽出データ!$A$1,AQ29,4)</f>
        <v>0</v>
      </c>
      <c r="AS35" s="11" t="str">
        <f ca="1">IF(OFFSET(Gemini抽出データ!$A$1,AQ29,5)=0,"",OFFSET(Gemini抽出データ!$A$1,AQ29,5))</f>
        <v/>
      </c>
      <c r="AT35" s="10" t="str">
        <f>AQ35</f>
        <v>クラス85</v>
      </c>
      <c r="AU35" s="11">
        <f ca="1">OFFSET(Gemini抽出データ!$A$1,AT29,4)</f>
        <v>0</v>
      </c>
      <c r="AV35" s="12" t="str">
        <f ca="1">IF(OFFSET(Gemini抽出データ!$A$1,AT29,5)=0,"",OFFSET(Gemini抽出データ!$A$1,AT29,5))</f>
        <v/>
      </c>
      <c r="AW35" s="10" t="str">
        <f>"クラス"&amp;AW$1</f>
        <v>クラス113</v>
      </c>
      <c r="AX35" s="11">
        <f ca="1">OFFSET(Gemini抽出データ!$A$1,AW29,4)</f>
        <v>0</v>
      </c>
      <c r="AY35" s="11" t="str">
        <f ca="1">IF(OFFSET(Gemini抽出データ!$A$1,AW29,5)=0,"",OFFSET(Gemini抽出データ!$A$1,AW29,5))</f>
        <v/>
      </c>
      <c r="AZ35" s="10" t="str">
        <f>AW35</f>
        <v>クラス113</v>
      </c>
      <c r="BA35" s="11">
        <f ca="1">OFFSET(Gemini抽出データ!$A$1,AZ29,4)</f>
        <v>0</v>
      </c>
      <c r="BB35" s="12" t="str">
        <f ca="1">IF(OFFSET(Gemini抽出データ!$A$1,AZ29,5)=0,"",OFFSET(Gemini抽出データ!$A$1,AZ29,5))</f>
        <v/>
      </c>
      <c r="BC35" s="13" t="str">
        <f>AW35</f>
        <v>クラス113</v>
      </c>
      <c r="BD35" s="11">
        <f ca="1">OFFSET(Gemini抽出データ!$A$1,BC29,4)</f>
        <v>0</v>
      </c>
      <c r="BE35" s="11" t="str">
        <f ca="1">IF(OFFSET(Gemini抽出データ!$A$1,BC29,5)=0,"",OFFSET(Gemini抽出データ!$A$1,BC29,5))</f>
        <v/>
      </c>
      <c r="BF35" s="10" t="str">
        <f>BC35</f>
        <v>クラス113</v>
      </c>
      <c r="BG35" s="11">
        <f ca="1">OFFSET(Gemini抽出データ!$A$1,BF29,4)</f>
        <v>0</v>
      </c>
      <c r="BH35" s="12" t="str">
        <f ca="1">IF(OFFSET(Gemini抽出データ!$A$1,BF29,5)=0,"",OFFSET(Gemini抽出データ!$A$1,BF29,5))</f>
        <v/>
      </c>
      <c r="BI35" s="10" t="str">
        <f>"クラス"&amp;BI$1</f>
        <v>クラス141</v>
      </c>
      <c r="BJ35" s="11">
        <f ca="1">OFFSET(Gemini抽出データ!$A$1,BI29,4)</f>
        <v>0</v>
      </c>
      <c r="BK35" s="11" t="str">
        <f ca="1">IF(OFFSET(Gemini抽出データ!$A$1,BI29,5)=0,"",OFFSET(Gemini抽出データ!$A$1,BI29,5))</f>
        <v/>
      </c>
      <c r="BL35" s="10" t="str">
        <f>BI35</f>
        <v>クラス141</v>
      </c>
      <c r="BM35" s="11">
        <f ca="1">OFFSET(Gemini抽出データ!$A$1,BL29,4)</f>
        <v>0</v>
      </c>
      <c r="BN35" s="12" t="str">
        <f ca="1">IF(OFFSET(Gemini抽出データ!$A$1,BL29,5)=0,"",OFFSET(Gemini抽出データ!$A$1,BL29,5))</f>
        <v/>
      </c>
      <c r="BO35" s="13" t="str">
        <f>BI35</f>
        <v>クラス141</v>
      </c>
      <c r="BP35" s="11">
        <f ca="1">OFFSET(Gemini抽出データ!$A$1,BO29,4)</f>
        <v>0</v>
      </c>
      <c r="BQ35" s="11" t="str">
        <f ca="1">IF(OFFSET(Gemini抽出データ!$A$1,BO29,5)=0,"",OFFSET(Gemini抽出データ!$A$1,BO29,5))</f>
        <v/>
      </c>
      <c r="BR35" s="10" t="str">
        <f>BO35</f>
        <v>クラス141</v>
      </c>
      <c r="BS35" s="11">
        <f ca="1">OFFSET(Gemini抽出データ!$A$1,BR29,4)</f>
        <v>0</v>
      </c>
      <c r="BT35" s="12" t="str">
        <f ca="1">IF(OFFSET(Gemini抽出データ!$A$1,BR29,5)=0,"",OFFSET(Gemini抽出データ!$A$1,BR29,5))</f>
        <v/>
      </c>
      <c r="BU35" s="10" t="str">
        <f>"クラス"&amp;BU$1</f>
        <v>クラス169</v>
      </c>
      <c r="BV35" s="11">
        <f ca="1">OFFSET(Gemini抽出データ!$A$1,BU29,4)</f>
        <v>0</v>
      </c>
      <c r="BW35" s="11" t="str">
        <f ca="1">IF(OFFSET(Gemini抽出データ!$A$1,BU29,5)=0,"",OFFSET(Gemini抽出データ!$A$1,BU29,5))</f>
        <v/>
      </c>
      <c r="BX35" s="10" t="str">
        <f>BU35</f>
        <v>クラス169</v>
      </c>
      <c r="BY35" s="11">
        <f ca="1">OFFSET(Gemini抽出データ!$A$1,BX29,4)</f>
        <v>0</v>
      </c>
      <c r="BZ35" s="12" t="str">
        <f ca="1">IF(OFFSET(Gemini抽出データ!$A$1,BX29,5)=0,"",OFFSET(Gemini抽出データ!$A$1,BX29,5))</f>
        <v/>
      </c>
      <c r="CA35" s="13" t="str">
        <f>BU35</f>
        <v>クラス169</v>
      </c>
      <c r="CB35" s="11">
        <f ca="1">OFFSET(Gemini抽出データ!$A$1,CA29,4)</f>
        <v>0</v>
      </c>
      <c r="CC35" s="11" t="str">
        <f ca="1">IF(OFFSET(Gemini抽出データ!$A$1,CA29,5)=0,"",OFFSET(Gemini抽出データ!$A$1,CA29,5))</f>
        <v/>
      </c>
      <c r="CD35" s="10" t="str">
        <f>CA35</f>
        <v>クラス169</v>
      </c>
      <c r="CE35" s="11">
        <f ca="1">OFFSET(Gemini抽出データ!$A$1,CD29,4)</f>
        <v>0</v>
      </c>
      <c r="CF35" s="12" t="str">
        <f ca="1">IF(OFFSET(Gemini抽出データ!$A$1,CD29,5)=0,"",OFFSET(Gemini抽出データ!$A$1,CD29,5))</f>
        <v/>
      </c>
      <c r="CG35" s="10" t="str">
        <f>"クラス"&amp;CG$1</f>
        <v>クラス197</v>
      </c>
      <c r="CH35" s="11">
        <f ca="1">OFFSET(Gemini抽出データ!$A$1,CG29,4)</f>
        <v>0</v>
      </c>
      <c r="CI35" s="11" t="str">
        <f ca="1">IF(OFFSET(Gemini抽出データ!$A$1,CG29,5)=0,"",OFFSET(Gemini抽出データ!$A$1,CG29,5))</f>
        <v/>
      </c>
      <c r="CJ35" s="10" t="str">
        <f>CG35</f>
        <v>クラス197</v>
      </c>
      <c r="CK35" s="11">
        <f ca="1">OFFSET(Gemini抽出データ!$A$1,CJ29,4)</f>
        <v>0</v>
      </c>
      <c r="CL35" s="12" t="str">
        <f ca="1">IF(OFFSET(Gemini抽出データ!$A$1,CJ29,5)=0,"",OFFSET(Gemini抽出データ!$A$1,CJ29,5))</f>
        <v/>
      </c>
      <c r="CM35" s="13" t="str">
        <f>CG35</f>
        <v>クラス197</v>
      </c>
      <c r="CN35" s="11">
        <f ca="1">OFFSET(Gemini抽出データ!$A$1,CM29,4)</f>
        <v>0</v>
      </c>
      <c r="CO35" s="11" t="str">
        <f ca="1">IF(OFFSET(Gemini抽出データ!$A$1,CM29,5)=0,"",OFFSET(Gemini抽出データ!$A$1,CM29,5))</f>
        <v/>
      </c>
      <c r="CP35" s="10" t="str">
        <f>CM35</f>
        <v>クラス197</v>
      </c>
      <c r="CQ35" s="11">
        <f ca="1">OFFSET(Gemini抽出データ!$A$1,CP29,4)</f>
        <v>0</v>
      </c>
      <c r="CR35" s="12" t="str">
        <f ca="1">IF(OFFSET(Gemini抽出データ!$A$1,CP29,5)=0,"",OFFSET(Gemini抽出データ!$A$1,CP29,5))</f>
        <v/>
      </c>
      <c r="CS35" s="10" t="str">
        <f>"クラス"&amp;CS$1</f>
        <v>クラス225</v>
      </c>
      <c r="CT35" s="11">
        <f ca="1">OFFSET(Gemini抽出データ!$A$1,CS29,4)</f>
        <v>0</v>
      </c>
      <c r="CU35" s="11" t="str">
        <f ca="1">IF(OFFSET(Gemini抽出データ!$A$1,CS29,5)=0,"",OFFSET(Gemini抽出データ!$A$1,CS29,5))</f>
        <v/>
      </c>
      <c r="CV35" s="10" t="str">
        <f>CS35</f>
        <v>クラス225</v>
      </c>
      <c r="CW35" s="11">
        <f ca="1">OFFSET(Gemini抽出データ!$A$1,CV29,4)</f>
        <v>0</v>
      </c>
      <c r="CX35" s="12" t="str">
        <f ca="1">IF(OFFSET(Gemini抽出データ!$A$1,CV29,5)=0,"",OFFSET(Gemini抽出データ!$A$1,CV29,5))</f>
        <v/>
      </c>
      <c r="CY35" s="13" t="str">
        <f>CS35</f>
        <v>クラス225</v>
      </c>
      <c r="CZ35" s="11">
        <f ca="1">OFFSET(Gemini抽出データ!$A$1,CY29,4)</f>
        <v>0</v>
      </c>
      <c r="DA35" s="11" t="str">
        <f ca="1">IF(OFFSET(Gemini抽出データ!$A$1,CY29,5)=0,"",OFFSET(Gemini抽出データ!$A$1,CY29,5))</f>
        <v/>
      </c>
      <c r="DB35" s="10" t="str">
        <f>CY35</f>
        <v>クラス225</v>
      </c>
      <c r="DC35" s="11">
        <f ca="1">OFFSET(Gemini抽出データ!$A$1,DB29,4)</f>
        <v>0</v>
      </c>
      <c r="DD35" s="12" t="str">
        <f ca="1">IF(OFFSET(Gemini抽出データ!$A$1,DB29,5)=0,"",OFFSET(Gemini抽出データ!$A$1,DB29,5))</f>
        <v/>
      </c>
      <c r="DE35" s="10" t="str">
        <f>"クラス"&amp;DE$1</f>
        <v>クラス253</v>
      </c>
      <c r="DF35" s="11">
        <f ca="1">OFFSET(Gemini抽出データ!$A$1,DE29,4)</f>
        <v>0</v>
      </c>
      <c r="DG35" s="11" t="str">
        <f ca="1">IF(OFFSET(Gemini抽出データ!$A$1,DE29,5)=0,"",OFFSET(Gemini抽出データ!$A$1,DE29,5))</f>
        <v/>
      </c>
      <c r="DH35" s="10" t="str">
        <f>DE35</f>
        <v>クラス253</v>
      </c>
      <c r="DI35" s="11">
        <f ca="1">OFFSET(Gemini抽出データ!$A$1,DH29,4)</f>
        <v>0</v>
      </c>
      <c r="DJ35" s="12" t="str">
        <f ca="1">IF(OFFSET(Gemini抽出データ!$A$1,DH29,5)=0,"",OFFSET(Gemini抽出データ!$A$1,DH29,5))</f>
        <v/>
      </c>
      <c r="DK35" s="13" t="str">
        <f>DE35</f>
        <v>クラス253</v>
      </c>
      <c r="DL35" s="11">
        <f ca="1">OFFSET(Gemini抽出データ!$A$1,DK29,4)</f>
        <v>0</v>
      </c>
      <c r="DM35" s="11" t="str">
        <f ca="1">IF(OFFSET(Gemini抽出データ!$A$1,DK29,5)=0,"",OFFSET(Gemini抽出データ!$A$1,DK29,5))</f>
        <v/>
      </c>
      <c r="DN35" s="10" t="str">
        <f>DK35</f>
        <v>クラス253</v>
      </c>
      <c r="DO35" s="11">
        <f ca="1">OFFSET(Gemini抽出データ!$A$1,DN29,4)</f>
        <v>0</v>
      </c>
      <c r="DP35" s="12" t="str">
        <f ca="1">IF(OFFSET(Gemini抽出データ!$A$1,DN29,5)=0,"",OFFSET(Gemini抽出データ!$A$1,DN29,5))</f>
        <v/>
      </c>
      <c r="DQ35" s="10" t="str">
        <f>"クラス"&amp;DQ$1</f>
        <v>クラス281</v>
      </c>
      <c r="DR35" s="11">
        <f ca="1">OFFSET(Gemini抽出データ!$A$1,DQ29,4)</f>
        <v>0</v>
      </c>
      <c r="DS35" s="11" t="str">
        <f ca="1">IF(OFFSET(Gemini抽出データ!$A$1,DQ29,5)=0,"",OFFSET(Gemini抽出データ!$A$1,DQ29,5))</f>
        <v/>
      </c>
      <c r="DT35" s="10" t="str">
        <f>DQ35</f>
        <v>クラス281</v>
      </c>
      <c r="DU35" s="11">
        <f ca="1">OFFSET(Gemini抽出データ!$A$1,DT29,4)</f>
        <v>0</v>
      </c>
      <c r="DV35" s="12" t="str">
        <f ca="1">IF(OFFSET(Gemini抽出データ!$A$1,DT29,5)=0,"",OFFSET(Gemini抽出データ!$A$1,DT29,5))</f>
        <v/>
      </c>
      <c r="DW35" s="13" t="str">
        <f>DQ35</f>
        <v>クラス281</v>
      </c>
      <c r="DX35" s="11">
        <f ca="1">OFFSET(Gemini抽出データ!$A$1,DW29,4)</f>
        <v>0</v>
      </c>
      <c r="DY35" s="11" t="str">
        <f ca="1">IF(OFFSET(Gemini抽出データ!$A$1,DW29,5)=0,"",OFFSET(Gemini抽出データ!$A$1,DW29,5))</f>
        <v/>
      </c>
      <c r="DZ35" s="10" t="str">
        <f>DW35</f>
        <v>クラス281</v>
      </c>
      <c r="EA35" s="11">
        <f ca="1">OFFSET(Gemini抽出データ!$A$1,DZ29,4)</f>
        <v>0</v>
      </c>
      <c r="EB35" s="12" t="str">
        <f ca="1">IF(OFFSET(Gemini抽出データ!$A$1,DZ29,5)=0,"",OFFSET(Gemini抽出データ!$A$1,DZ29,5))</f>
        <v/>
      </c>
      <c r="EC35" s="10" t="str">
        <f>"クラス"&amp;EC$1</f>
        <v>クラス309</v>
      </c>
      <c r="ED35" s="11">
        <f ca="1">OFFSET(Gemini抽出データ!$A$1,EC29,4)</f>
        <v>0</v>
      </c>
      <c r="EE35" s="11" t="str">
        <f ca="1">IF(OFFSET(Gemini抽出データ!$A$1,EC29,5)=0,"",OFFSET(Gemini抽出データ!$A$1,EC29,5))</f>
        <v/>
      </c>
      <c r="EF35" s="10" t="str">
        <f>EC35</f>
        <v>クラス309</v>
      </c>
      <c r="EG35" s="11">
        <f ca="1">OFFSET(Gemini抽出データ!$A$1,EF29,4)</f>
        <v>0</v>
      </c>
      <c r="EH35" s="12" t="str">
        <f ca="1">IF(OFFSET(Gemini抽出データ!$A$1,EF29,5)=0,"",OFFSET(Gemini抽出データ!$A$1,EF29,5))</f>
        <v/>
      </c>
      <c r="EI35" s="13" t="str">
        <f>EC35</f>
        <v>クラス309</v>
      </c>
      <c r="EJ35" s="11">
        <f ca="1">OFFSET(Gemini抽出データ!$A$1,EI29,4)</f>
        <v>0</v>
      </c>
      <c r="EK35" s="11" t="str">
        <f ca="1">IF(OFFSET(Gemini抽出データ!$A$1,EI29,5)=0,"",OFFSET(Gemini抽出データ!$A$1,EI29,5))</f>
        <v/>
      </c>
      <c r="EL35" s="10" t="str">
        <f>EI35</f>
        <v>クラス309</v>
      </c>
      <c r="EM35" s="11">
        <f ca="1">OFFSET(Gemini抽出データ!$A$1,EL29,4)</f>
        <v>0</v>
      </c>
      <c r="EN35" s="12" t="str">
        <f ca="1">IF(OFFSET(Gemini抽出データ!$A$1,EL29,5)=0,"",OFFSET(Gemini抽出データ!$A$1,EL29,5))</f>
        <v/>
      </c>
      <c r="EO35" s="10" t="str">
        <f>"クラス"&amp;EO$1</f>
        <v>クラス337</v>
      </c>
      <c r="EP35" s="11">
        <f ca="1">OFFSET(Gemini抽出データ!$A$1,EO29,4)</f>
        <v>0</v>
      </c>
      <c r="EQ35" s="11" t="str">
        <f ca="1">IF(OFFSET(Gemini抽出データ!$A$1,EO29,5)=0,"",OFFSET(Gemini抽出データ!$A$1,EO29,5))</f>
        <v/>
      </c>
      <c r="ER35" s="10" t="str">
        <f>EO35</f>
        <v>クラス337</v>
      </c>
      <c r="ES35" s="11">
        <f ca="1">OFFSET(Gemini抽出データ!$A$1,ER29,4)</f>
        <v>0</v>
      </c>
      <c r="ET35" s="12" t="str">
        <f ca="1">IF(OFFSET(Gemini抽出データ!$A$1,ER29,5)=0,"",OFFSET(Gemini抽出データ!$A$1,ER29,5))</f>
        <v/>
      </c>
      <c r="EU35" s="13" t="str">
        <f>EO35</f>
        <v>クラス337</v>
      </c>
      <c r="EV35" s="11">
        <f ca="1">OFFSET(Gemini抽出データ!$A$1,EU29,4)</f>
        <v>0</v>
      </c>
      <c r="EW35" s="11" t="str">
        <f ca="1">IF(OFFSET(Gemini抽出データ!$A$1,EU29,5)=0,"",OFFSET(Gemini抽出データ!$A$1,EU29,5))</f>
        <v/>
      </c>
      <c r="EX35" s="10" t="str">
        <f>EU35</f>
        <v>クラス337</v>
      </c>
      <c r="EY35" s="11">
        <f ca="1">OFFSET(Gemini抽出データ!$A$1,EX29,4)</f>
        <v>0</v>
      </c>
      <c r="EZ35" s="12" t="str">
        <f ca="1">IF(OFFSET(Gemini抽出データ!$A$1,EX29,5)=0,"",OFFSET(Gemini抽出データ!$A$1,EX29,5))</f>
        <v/>
      </c>
      <c r="FA35" s="10" t="str">
        <f>"クラス"&amp;FA$1</f>
        <v>クラス365</v>
      </c>
      <c r="FB35" s="11">
        <f ca="1">OFFSET(Gemini抽出データ!$A$1,FA29,4)</f>
        <v>0</v>
      </c>
      <c r="FC35" s="11" t="str">
        <f ca="1">IF(OFFSET(Gemini抽出データ!$A$1,FA29,5)=0,"",OFFSET(Gemini抽出データ!$A$1,FA29,5))</f>
        <v/>
      </c>
      <c r="FD35" s="10" t="str">
        <f>FA35</f>
        <v>クラス365</v>
      </c>
      <c r="FE35" s="11">
        <f ca="1">OFFSET(Gemini抽出データ!$A$1,FD29,4)</f>
        <v>0</v>
      </c>
      <c r="FF35" s="12" t="str">
        <f ca="1">IF(OFFSET(Gemini抽出データ!$A$1,FD29,5)=0,"",OFFSET(Gemini抽出データ!$A$1,FD29,5))</f>
        <v/>
      </c>
      <c r="FG35" s="13" t="str">
        <f>FA35</f>
        <v>クラス365</v>
      </c>
      <c r="FH35" s="11">
        <f ca="1">OFFSET(Gemini抽出データ!$A$1,FG29,4)</f>
        <v>0</v>
      </c>
      <c r="FI35" s="11" t="str">
        <f ca="1">IF(OFFSET(Gemini抽出データ!$A$1,FG29,5)=0,"",OFFSET(Gemini抽出データ!$A$1,FG29,5))</f>
        <v/>
      </c>
      <c r="FJ35" s="10" t="str">
        <f>FG35</f>
        <v>クラス365</v>
      </c>
      <c r="FK35" s="11">
        <f ca="1">OFFSET(Gemini抽出データ!$A$1,FJ29,4)</f>
        <v>0</v>
      </c>
      <c r="FL35" s="12" t="str">
        <f ca="1">IF(OFFSET(Gemini抽出データ!$A$1,FJ29,5)=0,"",OFFSET(Gemini抽出データ!$A$1,FJ29,5))</f>
        <v/>
      </c>
      <c r="FM35" s="10" t="str">
        <f>"クラス"&amp;FM$1</f>
        <v>クラス393</v>
      </c>
      <c r="FN35" s="11">
        <f ca="1">OFFSET(Gemini抽出データ!$A$1,FM29,4)</f>
        <v>0</v>
      </c>
      <c r="FO35" s="11" t="str">
        <f ca="1">IF(OFFSET(Gemini抽出データ!$A$1,FM29,5)=0,"",OFFSET(Gemini抽出データ!$A$1,FM29,5))</f>
        <v/>
      </c>
      <c r="FP35" s="10" t="str">
        <f>FM35</f>
        <v>クラス393</v>
      </c>
      <c r="FQ35" s="11">
        <f ca="1">OFFSET(Gemini抽出データ!$A$1,FP29,4)</f>
        <v>0</v>
      </c>
      <c r="FR35" s="12" t="str">
        <f ca="1">IF(OFFSET(Gemini抽出データ!$A$1,FP29,5)=0,"",OFFSET(Gemini抽出データ!$A$1,FP29,5))</f>
        <v/>
      </c>
      <c r="FS35" s="13" t="str">
        <f>FM35</f>
        <v>クラス393</v>
      </c>
      <c r="FT35" s="11">
        <f ca="1">OFFSET(Gemini抽出データ!$A$1,FS29,4)</f>
        <v>0</v>
      </c>
      <c r="FU35" s="11" t="str">
        <f ca="1">IF(OFFSET(Gemini抽出データ!$A$1,FS29,5)=0,"",OFFSET(Gemini抽出データ!$A$1,FS29,5))</f>
        <v/>
      </c>
      <c r="FV35" s="10" t="str">
        <f>FS35</f>
        <v>クラス393</v>
      </c>
      <c r="FW35" s="11">
        <f ca="1">OFFSET(Gemini抽出データ!$A$1,FV29,4)</f>
        <v>0</v>
      </c>
      <c r="FX35" s="12" t="str">
        <f ca="1">IF(OFFSET(Gemini抽出データ!$A$1,FV29,5)=0,"",OFFSET(Gemini抽出データ!$A$1,FV29,5))</f>
        <v/>
      </c>
      <c r="FY35" s="10" t="str">
        <f>"クラス"&amp;FY$1</f>
        <v>クラス421</v>
      </c>
      <c r="FZ35" s="11">
        <f ca="1">OFFSET(Gemini抽出データ!$A$1,FY29,4)</f>
        <v>0</v>
      </c>
      <c r="GA35" s="11" t="str">
        <f ca="1">IF(OFFSET(Gemini抽出データ!$A$1,FY29,5)=0,"",OFFSET(Gemini抽出データ!$A$1,FY29,5))</f>
        <v/>
      </c>
      <c r="GB35" s="10" t="str">
        <f>FY35</f>
        <v>クラス421</v>
      </c>
      <c r="GC35" s="11">
        <f ca="1">OFFSET(Gemini抽出データ!$A$1,GB29,4)</f>
        <v>0</v>
      </c>
      <c r="GD35" s="12" t="str">
        <f ca="1">IF(OFFSET(Gemini抽出データ!$A$1,GB29,5)=0,"",OFFSET(Gemini抽出データ!$A$1,GB29,5))</f>
        <v/>
      </c>
      <c r="GE35" s="13" t="str">
        <f>FY35</f>
        <v>クラス421</v>
      </c>
      <c r="GF35" s="11">
        <f ca="1">OFFSET(Gemini抽出データ!$A$1,GE29,4)</f>
        <v>0</v>
      </c>
      <c r="GG35" s="11" t="str">
        <f ca="1">IF(OFFSET(Gemini抽出データ!$A$1,GE29,5)=0,"",OFFSET(Gemini抽出データ!$A$1,GE29,5))</f>
        <v/>
      </c>
      <c r="GH35" s="10" t="str">
        <f>GE35</f>
        <v>クラス421</v>
      </c>
      <c r="GI35" s="11">
        <f ca="1">OFFSET(Gemini抽出データ!$A$1,GH29,4)</f>
        <v>0</v>
      </c>
      <c r="GJ35" s="12" t="str">
        <f ca="1">IF(OFFSET(Gemini抽出データ!$A$1,GH29,5)=0,"",OFFSET(Gemini抽出データ!$A$1,GH29,5))</f>
        <v/>
      </c>
      <c r="GK35" s="10" t="str">
        <f>"クラス"&amp;GK$1</f>
        <v>クラス449</v>
      </c>
      <c r="GL35" s="11">
        <f ca="1">OFFSET(Gemini抽出データ!$A$1,GK29,4)</f>
        <v>0</v>
      </c>
      <c r="GM35" s="11" t="str">
        <f ca="1">IF(OFFSET(Gemini抽出データ!$A$1,GK29,5)=0,"",OFFSET(Gemini抽出データ!$A$1,GK29,5))</f>
        <v/>
      </c>
      <c r="GN35" s="10" t="str">
        <f>GK35</f>
        <v>クラス449</v>
      </c>
      <c r="GO35" s="11">
        <f ca="1">OFFSET(Gemini抽出データ!$A$1,GN29,4)</f>
        <v>0</v>
      </c>
      <c r="GP35" s="12" t="str">
        <f ca="1">IF(OFFSET(Gemini抽出データ!$A$1,GN29,5)=0,"",OFFSET(Gemini抽出データ!$A$1,GN29,5))</f>
        <v/>
      </c>
      <c r="GQ35" s="13" t="str">
        <f>GK35</f>
        <v>クラス449</v>
      </c>
      <c r="GR35" s="11">
        <f ca="1">OFFSET(Gemini抽出データ!$A$1,GQ29,4)</f>
        <v>0</v>
      </c>
      <c r="GS35" s="11" t="str">
        <f ca="1">IF(OFFSET(Gemini抽出データ!$A$1,GQ29,5)=0,"",OFFSET(Gemini抽出データ!$A$1,GQ29,5))</f>
        <v/>
      </c>
      <c r="GT35" s="10" t="str">
        <f>GQ35</f>
        <v>クラス449</v>
      </c>
      <c r="GU35" s="11">
        <f ca="1">OFFSET(Gemini抽出データ!$A$1,GT29,4)</f>
        <v>0</v>
      </c>
      <c r="GV35" s="12" t="str">
        <f ca="1">IF(OFFSET(Gemini抽出データ!$A$1,GT29,5)=0,"",OFFSET(Gemini抽出データ!$A$1,GT29,5))</f>
        <v/>
      </c>
      <c r="GW35" s="10" t="str">
        <f>"クラス"&amp;GW$1</f>
        <v>クラス477</v>
      </c>
      <c r="GX35" s="11">
        <f ca="1">OFFSET(Gemini抽出データ!$A$1,GW29,4)</f>
        <v>0</v>
      </c>
      <c r="GY35" s="11" t="str">
        <f ca="1">IF(OFFSET(Gemini抽出データ!$A$1,GW29,5)=0,"",OFFSET(Gemini抽出データ!$A$1,GW29,5))</f>
        <v/>
      </c>
      <c r="GZ35" s="10" t="str">
        <f>GW35</f>
        <v>クラス477</v>
      </c>
      <c r="HA35" s="11">
        <f ca="1">OFFSET(Gemini抽出データ!$A$1,GZ29,4)</f>
        <v>0</v>
      </c>
      <c r="HB35" s="12" t="str">
        <f ca="1">IF(OFFSET(Gemini抽出データ!$A$1,GZ29,5)=0,"",OFFSET(Gemini抽出データ!$A$1,GZ29,5))</f>
        <v/>
      </c>
      <c r="HC35" s="13" t="str">
        <f>GW35</f>
        <v>クラス477</v>
      </c>
      <c r="HD35" s="11">
        <f ca="1">OFFSET(Gemini抽出データ!$A$1,HC29,4)</f>
        <v>0</v>
      </c>
      <c r="HE35" s="11" t="str">
        <f ca="1">IF(OFFSET(Gemini抽出データ!$A$1,HC29,5)=0,"",OFFSET(Gemini抽出データ!$A$1,HC29,5))</f>
        <v/>
      </c>
      <c r="HF35" s="10" t="str">
        <f>HC35</f>
        <v>クラス477</v>
      </c>
      <c r="HG35" s="11">
        <f ca="1">OFFSET(Gemini抽出データ!$A$1,HF29,4)</f>
        <v>0</v>
      </c>
      <c r="HH35" s="12" t="str">
        <f ca="1">IF(OFFSET(Gemini抽出データ!$A$1,HF29,5)=0,"",OFFSET(Gemini抽出データ!$A$1,HF29,5))</f>
        <v/>
      </c>
      <c r="HI35" s="10" t="str">
        <f>"クラス"&amp;HI$1</f>
        <v>クラス505</v>
      </c>
      <c r="HJ35" s="11">
        <f ca="1">OFFSET(Gemini抽出データ!$A$1,HI29,4)</f>
        <v>0</v>
      </c>
      <c r="HK35" s="11" t="str">
        <f ca="1">IF(OFFSET(Gemini抽出データ!$A$1,HI29,5)=0,"",OFFSET(Gemini抽出データ!$A$1,HI29,5))</f>
        <v/>
      </c>
      <c r="HL35" s="10" t="str">
        <f>HI35</f>
        <v>クラス505</v>
      </c>
      <c r="HM35" s="11">
        <f ca="1">OFFSET(Gemini抽出データ!$A$1,HL29,4)</f>
        <v>0</v>
      </c>
      <c r="HN35" s="12" t="str">
        <f ca="1">IF(OFFSET(Gemini抽出データ!$A$1,HL29,5)=0,"",OFFSET(Gemini抽出データ!$A$1,HL29,5))</f>
        <v/>
      </c>
      <c r="HO35" s="13" t="str">
        <f>HI35</f>
        <v>クラス505</v>
      </c>
      <c r="HP35" s="11">
        <f ca="1">OFFSET(Gemini抽出データ!$A$1,HO29,4)</f>
        <v>0</v>
      </c>
      <c r="HQ35" s="11" t="str">
        <f ca="1">IF(OFFSET(Gemini抽出データ!$A$1,HO29,5)=0,"",OFFSET(Gemini抽出データ!$A$1,HO29,5))</f>
        <v/>
      </c>
      <c r="HR35" s="10" t="str">
        <f>HO35</f>
        <v>クラス505</v>
      </c>
      <c r="HS35" s="11">
        <f ca="1">OFFSET(Gemini抽出データ!$A$1,HR29,4)</f>
        <v>0</v>
      </c>
      <c r="HT35" s="12" t="str">
        <f ca="1">IF(OFFSET(Gemini抽出データ!$A$1,HR29,5)=0,"",OFFSET(Gemini抽出データ!$A$1,HR29,5))</f>
        <v/>
      </c>
      <c r="HU35" t="e">
        <f ca="1">OFFSET(Gemini抽出データ!$A$1,#REF!,4)</f>
        <v>#REF!</v>
      </c>
      <c r="HV35" t="e">
        <f ca="1">IF(OFFSET(Gemini抽出データ!$A$1,#REF!,5)=0,"",OFFSET(Gemini抽出データ!$A$1,#REF!,5))</f>
        <v>#REF!</v>
      </c>
    </row>
    <row r="36" spans="1:230" ht="17.100000000000001" customHeight="1" x14ac:dyDescent="0.45">
      <c r="A36" s="5">
        <f>J29+1</f>
        <v>21</v>
      </c>
      <c r="B36" s="6">
        <f ca="1">OFFSET(Gemini抽出データ!$A$1,A36,0)</f>
        <v>0</v>
      </c>
      <c r="C36" s="8"/>
      <c r="D36" s="5">
        <f>A36+1</f>
        <v>22</v>
      </c>
      <c r="E36" s="6">
        <f ca="1">OFFSET(Gemini抽出データ!$A$1,D36,0)</f>
        <v>0</v>
      </c>
      <c r="F36" s="8"/>
      <c r="G36" s="9">
        <f>D36+1</f>
        <v>23</v>
      </c>
      <c r="H36" s="6">
        <f ca="1">OFFSET(Gemini抽出データ!$A$1,G36,0)</f>
        <v>0</v>
      </c>
      <c r="I36" s="7"/>
      <c r="J36" s="5">
        <f>G36+1</f>
        <v>24</v>
      </c>
      <c r="K36" s="6">
        <f ca="1">OFFSET(Gemini抽出データ!$A$1,J36,0)</f>
        <v>0</v>
      </c>
      <c r="L36" s="8"/>
      <c r="M36" s="5">
        <f>V29+1</f>
        <v>49</v>
      </c>
      <c r="N36" s="6">
        <f ca="1">OFFSET(Gemini抽出データ!$A$1,M36,0)</f>
        <v>0</v>
      </c>
      <c r="O36" s="8"/>
      <c r="P36" s="5">
        <f>M36+1</f>
        <v>50</v>
      </c>
      <c r="Q36" s="6">
        <f ca="1">OFFSET(Gemini抽出データ!$A$1,P36,0)</f>
        <v>0</v>
      </c>
      <c r="R36" s="8"/>
      <c r="S36" s="9">
        <f>P36+1</f>
        <v>51</v>
      </c>
      <c r="T36" s="6">
        <f ca="1">OFFSET(Gemini抽出データ!$A$1,S36,0)</f>
        <v>0</v>
      </c>
      <c r="U36" s="7"/>
      <c r="V36" s="5">
        <f>S36+1</f>
        <v>52</v>
      </c>
      <c r="W36" s="6">
        <f ca="1">OFFSET(Gemini抽出データ!$A$1,V36,0)</f>
        <v>0</v>
      </c>
      <c r="X36" s="8"/>
      <c r="Y36" s="5">
        <f>AH29+1</f>
        <v>77</v>
      </c>
      <c r="Z36" s="6">
        <f ca="1">OFFSET(Gemini抽出データ!$A$1,Y36,0)</f>
        <v>0</v>
      </c>
      <c r="AA36" s="8"/>
      <c r="AB36" s="5">
        <f>Y36+1</f>
        <v>78</v>
      </c>
      <c r="AC36" s="6">
        <f ca="1">OFFSET(Gemini抽出データ!$A$1,AB36,0)</f>
        <v>0</v>
      </c>
      <c r="AD36" s="8"/>
      <c r="AE36" s="9">
        <f>AB36+1</f>
        <v>79</v>
      </c>
      <c r="AF36" s="6">
        <f ca="1">OFFSET(Gemini抽出データ!$A$1,AE36,0)</f>
        <v>0</v>
      </c>
      <c r="AG36" s="7"/>
      <c r="AH36" s="5">
        <f>AE36+1</f>
        <v>80</v>
      </c>
      <c r="AI36" s="6">
        <f ca="1">OFFSET(Gemini抽出データ!$A$1,AH36,0)</f>
        <v>0</v>
      </c>
      <c r="AJ36" s="8"/>
      <c r="AK36" s="5">
        <f>AT29+1</f>
        <v>105</v>
      </c>
      <c r="AL36" s="6">
        <f ca="1">OFFSET(Gemini抽出データ!$A$1,AK36,0)</f>
        <v>0</v>
      </c>
      <c r="AM36" s="8"/>
      <c r="AN36" s="5">
        <f>AK36+1</f>
        <v>106</v>
      </c>
      <c r="AO36" s="6">
        <f ca="1">OFFSET(Gemini抽出データ!$A$1,AN36,0)</f>
        <v>0</v>
      </c>
      <c r="AP36" s="8"/>
      <c r="AQ36" s="9">
        <f>AN36+1</f>
        <v>107</v>
      </c>
      <c r="AR36" s="6">
        <f ca="1">OFFSET(Gemini抽出データ!$A$1,AQ36,0)</f>
        <v>0</v>
      </c>
      <c r="AS36" s="7"/>
      <c r="AT36" s="5">
        <f>AQ36+1</f>
        <v>108</v>
      </c>
      <c r="AU36" s="6">
        <f ca="1">OFFSET(Gemini抽出データ!$A$1,AT36,0)</f>
        <v>0</v>
      </c>
      <c r="AV36" s="8"/>
      <c r="AW36" s="5">
        <f>BF29+1</f>
        <v>133</v>
      </c>
      <c r="AX36" s="6">
        <f ca="1">OFFSET(Gemini抽出データ!$A$1,AW36,0)</f>
        <v>0</v>
      </c>
      <c r="AY36" s="8"/>
      <c r="AZ36" s="5">
        <f>AW36+1</f>
        <v>134</v>
      </c>
      <c r="BA36" s="6">
        <f ca="1">OFFSET(Gemini抽出データ!$A$1,AZ36,0)</f>
        <v>0</v>
      </c>
      <c r="BB36" s="8"/>
      <c r="BC36" s="9">
        <f>AZ36+1</f>
        <v>135</v>
      </c>
      <c r="BD36" s="6">
        <f ca="1">OFFSET(Gemini抽出データ!$A$1,BC36,0)</f>
        <v>0</v>
      </c>
      <c r="BE36" s="7"/>
      <c r="BF36" s="5">
        <f>BC36+1</f>
        <v>136</v>
      </c>
      <c r="BG36" s="6">
        <f ca="1">OFFSET(Gemini抽出データ!$A$1,BF36,0)</f>
        <v>0</v>
      </c>
      <c r="BH36" s="8"/>
      <c r="BI36" s="5">
        <f>BR29+1</f>
        <v>161</v>
      </c>
      <c r="BJ36" s="6">
        <f ca="1">OFFSET(Gemini抽出データ!$A$1,BI36,0)</f>
        <v>0</v>
      </c>
      <c r="BK36" s="8"/>
      <c r="BL36" s="5">
        <f>BI36+1</f>
        <v>162</v>
      </c>
      <c r="BM36" s="6">
        <f ca="1">OFFSET(Gemini抽出データ!$A$1,BL36,0)</f>
        <v>0</v>
      </c>
      <c r="BN36" s="8"/>
      <c r="BO36" s="9">
        <f>BL36+1</f>
        <v>163</v>
      </c>
      <c r="BP36" s="6">
        <f ca="1">OFFSET(Gemini抽出データ!$A$1,BO36,0)</f>
        <v>0</v>
      </c>
      <c r="BQ36" s="7"/>
      <c r="BR36" s="5">
        <f>BO36+1</f>
        <v>164</v>
      </c>
      <c r="BS36" s="6">
        <f ca="1">OFFSET(Gemini抽出データ!$A$1,BR36,0)</f>
        <v>0</v>
      </c>
      <c r="BT36" s="8"/>
      <c r="BU36" s="5">
        <f>CD29+1</f>
        <v>189</v>
      </c>
      <c r="BV36" s="6">
        <f ca="1">OFFSET(Gemini抽出データ!$A$1,BU36,0)</f>
        <v>0</v>
      </c>
      <c r="BW36" s="8"/>
      <c r="BX36" s="5">
        <f>BU36+1</f>
        <v>190</v>
      </c>
      <c r="BY36" s="6">
        <f ca="1">OFFSET(Gemini抽出データ!$A$1,BX36,0)</f>
        <v>0</v>
      </c>
      <c r="BZ36" s="8"/>
      <c r="CA36" s="9">
        <f>BX36+1</f>
        <v>191</v>
      </c>
      <c r="CB36" s="6">
        <f ca="1">OFFSET(Gemini抽出データ!$A$1,CA36,0)</f>
        <v>0</v>
      </c>
      <c r="CC36" s="7"/>
      <c r="CD36" s="5">
        <f>CA36+1</f>
        <v>192</v>
      </c>
      <c r="CE36" s="6">
        <f ca="1">OFFSET(Gemini抽出データ!$A$1,CD36,0)</f>
        <v>0</v>
      </c>
      <c r="CF36" s="8"/>
      <c r="CG36" s="5">
        <f>CP29+1</f>
        <v>217</v>
      </c>
      <c r="CH36" s="6">
        <f ca="1">OFFSET(Gemini抽出データ!$A$1,CG36,0)</f>
        <v>0</v>
      </c>
      <c r="CI36" s="8"/>
      <c r="CJ36" s="5">
        <f>CG36+1</f>
        <v>218</v>
      </c>
      <c r="CK36" s="6">
        <f ca="1">OFFSET(Gemini抽出データ!$A$1,CJ36,0)</f>
        <v>0</v>
      </c>
      <c r="CL36" s="8"/>
      <c r="CM36" s="9">
        <f>CJ36+1</f>
        <v>219</v>
      </c>
      <c r="CN36" s="6">
        <f ca="1">OFFSET(Gemini抽出データ!$A$1,CM36,0)</f>
        <v>0</v>
      </c>
      <c r="CO36" s="7"/>
      <c r="CP36" s="5">
        <f>CM36+1</f>
        <v>220</v>
      </c>
      <c r="CQ36" s="6">
        <f ca="1">OFFSET(Gemini抽出データ!$A$1,CP36,0)</f>
        <v>0</v>
      </c>
      <c r="CR36" s="8"/>
      <c r="CS36" s="5">
        <f>DB29+1</f>
        <v>245</v>
      </c>
      <c r="CT36" s="6">
        <f ca="1">OFFSET(Gemini抽出データ!$A$1,CS36,0)</f>
        <v>0</v>
      </c>
      <c r="CU36" s="8"/>
      <c r="CV36" s="5">
        <f>CS36+1</f>
        <v>246</v>
      </c>
      <c r="CW36" s="6">
        <f ca="1">OFFSET(Gemini抽出データ!$A$1,CV36,0)</f>
        <v>0</v>
      </c>
      <c r="CX36" s="8"/>
      <c r="CY36" s="9">
        <f>CV36+1</f>
        <v>247</v>
      </c>
      <c r="CZ36" s="6">
        <f ca="1">OFFSET(Gemini抽出データ!$A$1,CY36,0)</f>
        <v>0</v>
      </c>
      <c r="DA36" s="7"/>
      <c r="DB36" s="5">
        <f>CY36+1</f>
        <v>248</v>
      </c>
      <c r="DC36" s="6">
        <f ca="1">OFFSET(Gemini抽出データ!$A$1,DB36,0)</f>
        <v>0</v>
      </c>
      <c r="DD36" s="8"/>
      <c r="DE36" s="5">
        <f>DN29+1</f>
        <v>273</v>
      </c>
      <c r="DF36" s="6">
        <f ca="1">OFFSET(Gemini抽出データ!$A$1,DE36,0)</f>
        <v>0</v>
      </c>
      <c r="DG36" s="8"/>
      <c r="DH36" s="5">
        <f>DE36+1</f>
        <v>274</v>
      </c>
      <c r="DI36" s="6">
        <f ca="1">OFFSET(Gemini抽出データ!$A$1,DH36,0)</f>
        <v>0</v>
      </c>
      <c r="DJ36" s="8"/>
      <c r="DK36" s="9">
        <f>DH36+1</f>
        <v>275</v>
      </c>
      <c r="DL36" s="6">
        <f ca="1">OFFSET(Gemini抽出データ!$A$1,DK36,0)</f>
        <v>0</v>
      </c>
      <c r="DM36" s="7"/>
      <c r="DN36" s="5">
        <f>DK36+1</f>
        <v>276</v>
      </c>
      <c r="DO36" s="6">
        <f ca="1">OFFSET(Gemini抽出データ!$A$1,DN36,0)</f>
        <v>0</v>
      </c>
      <c r="DP36" s="8"/>
      <c r="DQ36" s="5">
        <f>DZ29+1</f>
        <v>301</v>
      </c>
      <c r="DR36" s="6">
        <f ca="1">OFFSET(Gemini抽出データ!$A$1,DQ36,0)</f>
        <v>0</v>
      </c>
      <c r="DS36" s="8"/>
      <c r="DT36" s="5">
        <f>DQ36+1</f>
        <v>302</v>
      </c>
      <c r="DU36" s="6">
        <f ca="1">OFFSET(Gemini抽出データ!$A$1,DT36,0)</f>
        <v>0</v>
      </c>
      <c r="DV36" s="8"/>
      <c r="DW36" s="9">
        <f>DT36+1</f>
        <v>303</v>
      </c>
      <c r="DX36" s="6">
        <f ca="1">OFFSET(Gemini抽出データ!$A$1,DW36,0)</f>
        <v>0</v>
      </c>
      <c r="DY36" s="7"/>
      <c r="DZ36" s="5">
        <f>DW36+1</f>
        <v>304</v>
      </c>
      <c r="EA36" s="6">
        <f ca="1">OFFSET(Gemini抽出データ!$A$1,DZ36,0)</f>
        <v>0</v>
      </c>
      <c r="EB36" s="8"/>
      <c r="EC36" s="5">
        <f>EL29+1</f>
        <v>329</v>
      </c>
      <c r="ED36" s="6">
        <f ca="1">OFFSET(Gemini抽出データ!$A$1,EC36,0)</f>
        <v>0</v>
      </c>
      <c r="EE36" s="8"/>
      <c r="EF36" s="5">
        <f>EC36+1</f>
        <v>330</v>
      </c>
      <c r="EG36" s="6">
        <f ca="1">OFFSET(Gemini抽出データ!$A$1,EF36,0)</f>
        <v>0</v>
      </c>
      <c r="EH36" s="8"/>
      <c r="EI36" s="9">
        <f>EF36+1</f>
        <v>331</v>
      </c>
      <c r="EJ36" s="6">
        <f ca="1">OFFSET(Gemini抽出データ!$A$1,EI36,0)</f>
        <v>0</v>
      </c>
      <c r="EK36" s="7"/>
      <c r="EL36" s="5">
        <f>EI36+1</f>
        <v>332</v>
      </c>
      <c r="EM36" s="6">
        <f ca="1">OFFSET(Gemini抽出データ!$A$1,EL36,0)</f>
        <v>0</v>
      </c>
      <c r="EN36" s="8"/>
      <c r="EO36" s="5">
        <f>EX29+1</f>
        <v>357</v>
      </c>
      <c r="EP36" s="6">
        <f ca="1">OFFSET(Gemini抽出データ!$A$1,EO36,0)</f>
        <v>0</v>
      </c>
      <c r="EQ36" s="8"/>
      <c r="ER36" s="5">
        <f>EO36+1</f>
        <v>358</v>
      </c>
      <c r="ES36" s="6">
        <f ca="1">OFFSET(Gemini抽出データ!$A$1,ER36,0)</f>
        <v>0</v>
      </c>
      <c r="ET36" s="8"/>
      <c r="EU36" s="9">
        <f>ER36+1</f>
        <v>359</v>
      </c>
      <c r="EV36" s="6">
        <f ca="1">OFFSET(Gemini抽出データ!$A$1,EU36,0)</f>
        <v>0</v>
      </c>
      <c r="EW36" s="7"/>
      <c r="EX36" s="5">
        <f>EU36+1</f>
        <v>360</v>
      </c>
      <c r="EY36" s="6">
        <f ca="1">OFFSET(Gemini抽出データ!$A$1,EX36,0)</f>
        <v>0</v>
      </c>
      <c r="EZ36" s="8"/>
      <c r="FA36" s="5">
        <f>FJ29+1</f>
        <v>385</v>
      </c>
      <c r="FB36" s="6">
        <f ca="1">OFFSET(Gemini抽出データ!$A$1,FA36,0)</f>
        <v>0</v>
      </c>
      <c r="FC36" s="8"/>
      <c r="FD36" s="5">
        <f>FA36+1</f>
        <v>386</v>
      </c>
      <c r="FE36" s="6">
        <f ca="1">OFFSET(Gemini抽出データ!$A$1,FD36,0)</f>
        <v>0</v>
      </c>
      <c r="FF36" s="8"/>
      <c r="FG36" s="9">
        <f>FD36+1</f>
        <v>387</v>
      </c>
      <c r="FH36" s="6">
        <f ca="1">OFFSET(Gemini抽出データ!$A$1,FG36,0)</f>
        <v>0</v>
      </c>
      <c r="FI36" s="7"/>
      <c r="FJ36" s="5">
        <f>FG36+1</f>
        <v>388</v>
      </c>
      <c r="FK36" s="6">
        <f ca="1">OFFSET(Gemini抽出データ!$A$1,FJ36,0)</f>
        <v>0</v>
      </c>
      <c r="FL36" s="8"/>
      <c r="FM36" s="5">
        <f>FV29+1</f>
        <v>413</v>
      </c>
      <c r="FN36" s="6">
        <f ca="1">OFFSET(Gemini抽出データ!$A$1,FM36,0)</f>
        <v>0</v>
      </c>
      <c r="FO36" s="8"/>
      <c r="FP36" s="5">
        <f>FM36+1</f>
        <v>414</v>
      </c>
      <c r="FQ36" s="6">
        <f ca="1">OFFSET(Gemini抽出データ!$A$1,FP36,0)</f>
        <v>0</v>
      </c>
      <c r="FR36" s="8"/>
      <c r="FS36" s="9">
        <f>FP36+1</f>
        <v>415</v>
      </c>
      <c r="FT36" s="6">
        <f ca="1">OFFSET(Gemini抽出データ!$A$1,FS36,0)</f>
        <v>0</v>
      </c>
      <c r="FU36" s="7"/>
      <c r="FV36" s="5">
        <f>FS36+1</f>
        <v>416</v>
      </c>
      <c r="FW36" s="6">
        <f ca="1">OFFSET(Gemini抽出データ!$A$1,FV36,0)</f>
        <v>0</v>
      </c>
      <c r="FX36" s="8"/>
      <c r="FY36" s="5">
        <f>GH29+1</f>
        <v>441</v>
      </c>
      <c r="FZ36" s="6">
        <f ca="1">OFFSET(Gemini抽出データ!$A$1,FY36,0)</f>
        <v>0</v>
      </c>
      <c r="GA36" s="8"/>
      <c r="GB36" s="5">
        <f>FY36+1</f>
        <v>442</v>
      </c>
      <c r="GC36" s="6">
        <f ca="1">OFFSET(Gemini抽出データ!$A$1,GB36,0)</f>
        <v>0</v>
      </c>
      <c r="GD36" s="8"/>
      <c r="GE36" s="9">
        <f>GB36+1</f>
        <v>443</v>
      </c>
      <c r="GF36" s="6">
        <f ca="1">OFFSET(Gemini抽出データ!$A$1,GE36,0)</f>
        <v>0</v>
      </c>
      <c r="GG36" s="7"/>
      <c r="GH36" s="5">
        <f>GE36+1</f>
        <v>444</v>
      </c>
      <c r="GI36" s="6">
        <f ca="1">OFFSET(Gemini抽出データ!$A$1,GH36,0)</f>
        <v>0</v>
      </c>
      <c r="GJ36" s="8"/>
      <c r="GK36" s="5">
        <f>GT29+1</f>
        <v>469</v>
      </c>
      <c r="GL36" s="6">
        <f ca="1">OFFSET(Gemini抽出データ!$A$1,GK36,0)</f>
        <v>0</v>
      </c>
      <c r="GM36" s="8"/>
      <c r="GN36" s="5">
        <f>GK36+1</f>
        <v>470</v>
      </c>
      <c r="GO36" s="6">
        <f ca="1">OFFSET(Gemini抽出データ!$A$1,GN36,0)</f>
        <v>0</v>
      </c>
      <c r="GP36" s="8"/>
      <c r="GQ36" s="9">
        <f>GN36+1</f>
        <v>471</v>
      </c>
      <c r="GR36" s="6">
        <f ca="1">OFFSET(Gemini抽出データ!$A$1,GQ36,0)</f>
        <v>0</v>
      </c>
      <c r="GS36" s="7"/>
      <c r="GT36" s="5">
        <f>GQ36+1</f>
        <v>472</v>
      </c>
      <c r="GU36" s="6">
        <f ca="1">OFFSET(Gemini抽出データ!$A$1,GT36,0)</f>
        <v>0</v>
      </c>
      <c r="GV36" s="8"/>
      <c r="GW36" s="5">
        <f>HF29+1</f>
        <v>497</v>
      </c>
      <c r="GX36" s="6">
        <f ca="1">OFFSET(Gemini抽出データ!$A$1,GW36,0)</f>
        <v>0</v>
      </c>
      <c r="GY36" s="8"/>
      <c r="GZ36" s="5">
        <f>GW36+1</f>
        <v>498</v>
      </c>
      <c r="HA36" s="6">
        <f ca="1">OFFSET(Gemini抽出データ!$A$1,GZ36,0)</f>
        <v>0</v>
      </c>
      <c r="HB36" s="8"/>
      <c r="HC36" s="9">
        <f>GZ36+1</f>
        <v>499</v>
      </c>
      <c r="HD36" s="6">
        <f ca="1">OFFSET(Gemini抽出データ!$A$1,HC36,0)</f>
        <v>0</v>
      </c>
      <c r="HE36" s="7"/>
      <c r="HF36" s="5">
        <f>HC36+1</f>
        <v>500</v>
      </c>
      <c r="HG36" s="6">
        <f ca="1">OFFSET(Gemini抽出データ!$A$1,HF36,0)</f>
        <v>0</v>
      </c>
      <c r="HH36" s="8"/>
      <c r="HI36" s="5">
        <f>HR29+1</f>
        <v>525</v>
      </c>
      <c r="HJ36" s="6">
        <f ca="1">OFFSET(Gemini抽出データ!$A$1,HI36,0)</f>
        <v>0</v>
      </c>
      <c r="HK36" s="8"/>
      <c r="HL36" s="5">
        <f>HI36+1</f>
        <v>526</v>
      </c>
      <c r="HM36" s="6">
        <f ca="1">OFFSET(Gemini抽出データ!$A$1,HL36,0)</f>
        <v>0</v>
      </c>
      <c r="HN36" s="8"/>
      <c r="HO36" s="9">
        <f>HL36+1</f>
        <v>527</v>
      </c>
      <c r="HP36" s="6">
        <f ca="1">OFFSET(Gemini抽出データ!$A$1,HO36,0)</f>
        <v>0</v>
      </c>
      <c r="HQ36" s="7"/>
      <c r="HR36" s="5">
        <f>HO36+1</f>
        <v>528</v>
      </c>
      <c r="HS36" s="6">
        <f ca="1">OFFSET(Gemini抽出データ!$A$1,HR36,0)</f>
        <v>0</v>
      </c>
      <c r="HT36" s="8"/>
      <c r="HU36" s="4" t="e">
        <f ca="1">OFFSET(Gemini抽出データ!$A$1,#REF!,0)</f>
        <v>#REF!</v>
      </c>
      <c r="HV36" s="3"/>
    </row>
    <row r="37" spans="1:230" ht="17.100000000000001" customHeight="1" x14ac:dyDescent="0.45">
      <c r="A37" s="10" t="str">
        <f>"クライアント名"&amp;A$1</f>
        <v>クライアント名1</v>
      </c>
      <c r="B37" s="11">
        <f ca="1">OFFSET(Gemini抽出データ!$A$1,A36,2)</f>
        <v>0</v>
      </c>
      <c r="C37" s="12"/>
      <c r="D37" s="10" t="str">
        <f>"クライアント名"&amp;D$1</f>
        <v>クライアント名2</v>
      </c>
      <c r="E37" s="11">
        <f ca="1">OFFSET(Gemini抽出データ!$A$1,D36,2)</f>
        <v>0</v>
      </c>
      <c r="F37" s="12"/>
      <c r="G37" s="13" t="str">
        <f>"クライアント名"&amp;G$1</f>
        <v>クライアント名3</v>
      </c>
      <c r="H37" s="11">
        <f ca="1">OFFSET(Gemini抽出データ!$A$1,G36,2)</f>
        <v>0</v>
      </c>
      <c r="I37" s="11"/>
      <c r="J37" s="10" t="str">
        <f>"クライアント名"&amp;J$1</f>
        <v>クライアント名4</v>
      </c>
      <c r="K37" s="11">
        <f ca="1">OFFSET(Gemini抽出データ!$A$1,J36,2)</f>
        <v>0</v>
      </c>
      <c r="L37" s="12"/>
      <c r="M37" s="10" t="str">
        <f>"クライアント名"&amp;M$1</f>
        <v>クライアント名29</v>
      </c>
      <c r="N37" s="11">
        <f ca="1">OFFSET(Gemini抽出データ!$A$1,M36,2)</f>
        <v>0</v>
      </c>
      <c r="O37" s="12"/>
      <c r="P37" s="10" t="str">
        <f>"クライアント名"&amp;P$1</f>
        <v>クライアント名30</v>
      </c>
      <c r="Q37" s="11">
        <f ca="1">OFFSET(Gemini抽出データ!$A$1,P36,2)</f>
        <v>0</v>
      </c>
      <c r="R37" s="12"/>
      <c r="S37" s="13" t="str">
        <f>"クライアント名"&amp;S$1</f>
        <v>クライアント名31</v>
      </c>
      <c r="T37" s="11">
        <f ca="1">OFFSET(Gemini抽出データ!$A$1,S36,2)</f>
        <v>0</v>
      </c>
      <c r="U37" s="11"/>
      <c r="V37" s="10" t="str">
        <f>"クライアント名"&amp;V$1</f>
        <v>クライアント名32</v>
      </c>
      <c r="W37" s="11">
        <f ca="1">OFFSET(Gemini抽出データ!$A$1,V36,2)</f>
        <v>0</v>
      </c>
      <c r="X37" s="12"/>
      <c r="Y37" s="10" t="str">
        <f>"クライアント名"&amp;Y$1</f>
        <v>クライアント名57</v>
      </c>
      <c r="Z37" s="11">
        <f ca="1">OFFSET(Gemini抽出データ!$A$1,Y36,2)</f>
        <v>0</v>
      </c>
      <c r="AA37" s="12"/>
      <c r="AB37" s="10" t="str">
        <f>"クライアント名"&amp;AB$1</f>
        <v>クライアント名58</v>
      </c>
      <c r="AC37" s="11">
        <f ca="1">OFFSET(Gemini抽出データ!$A$1,AB36,2)</f>
        <v>0</v>
      </c>
      <c r="AD37" s="12"/>
      <c r="AE37" s="13" t="str">
        <f>"クライアント名"&amp;AE$1</f>
        <v>クライアント名59</v>
      </c>
      <c r="AF37" s="11">
        <f ca="1">OFFSET(Gemini抽出データ!$A$1,AE36,2)</f>
        <v>0</v>
      </c>
      <c r="AG37" s="11"/>
      <c r="AH37" s="10" t="str">
        <f>"クライアント名"&amp;AH$1</f>
        <v>クライアント名60</v>
      </c>
      <c r="AI37" s="11">
        <f ca="1">OFFSET(Gemini抽出データ!$A$1,AH36,2)</f>
        <v>0</v>
      </c>
      <c r="AJ37" s="12"/>
      <c r="AK37" s="10" t="str">
        <f>"クライアント名"&amp;AK$1</f>
        <v>クライアント名85</v>
      </c>
      <c r="AL37" s="11">
        <f ca="1">OFFSET(Gemini抽出データ!$A$1,AK36,2)</f>
        <v>0</v>
      </c>
      <c r="AM37" s="12"/>
      <c r="AN37" s="10" t="str">
        <f>"クライアント名"&amp;AN$1</f>
        <v>クライアント名86</v>
      </c>
      <c r="AO37" s="11">
        <f ca="1">OFFSET(Gemini抽出データ!$A$1,AN36,2)</f>
        <v>0</v>
      </c>
      <c r="AP37" s="12"/>
      <c r="AQ37" s="13" t="str">
        <f>"クライアント名"&amp;AQ$1</f>
        <v>クライアント名87</v>
      </c>
      <c r="AR37" s="11">
        <f ca="1">OFFSET(Gemini抽出データ!$A$1,AQ36,2)</f>
        <v>0</v>
      </c>
      <c r="AS37" s="11"/>
      <c r="AT37" s="10" t="str">
        <f>"クライアント名"&amp;AT$1</f>
        <v>クライアント名88</v>
      </c>
      <c r="AU37" s="11">
        <f ca="1">OFFSET(Gemini抽出データ!$A$1,AT36,2)</f>
        <v>0</v>
      </c>
      <c r="AV37" s="12"/>
      <c r="AW37" s="10" t="str">
        <f>"クライアント名"&amp;AW$1</f>
        <v>クライアント名113</v>
      </c>
      <c r="AX37" s="11">
        <f ca="1">OFFSET(Gemini抽出データ!$A$1,AW36,2)</f>
        <v>0</v>
      </c>
      <c r="AY37" s="12"/>
      <c r="AZ37" s="10" t="str">
        <f>"クライアント名"&amp;AZ$1</f>
        <v>クライアント名114</v>
      </c>
      <c r="BA37" s="11">
        <f ca="1">OFFSET(Gemini抽出データ!$A$1,AZ36,2)</f>
        <v>0</v>
      </c>
      <c r="BB37" s="12"/>
      <c r="BC37" s="13" t="str">
        <f>"クライアント名"&amp;BC$1</f>
        <v>クライアント名115</v>
      </c>
      <c r="BD37" s="11">
        <f ca="1">OFFSET(Gemini抽出データ!$A$1,BC36,2)</f>
        <v>0</v>
      </c>
      <c r="BE37" s="11"/>
      <c r="BF37" s="10" t="str">
        <f>"クライアント名"&amp;BF$1</f>
        <v>クライアント名116</v>
      </c>
      <c r="BG37" s="11">
        <f ca="1">OFFSET(Gemini抽出データ!$A$1,BF36,2)</f>
        <v>0</v>
      </c>
      <c r="BH37" s="12"/>
      <c r="BI37" s="10" t="str">
        <f>"クライアント名"&amp;BI$1</f>
        <v>クライアント名141</v>
      </c>
      <c r="BJ37" s="11">
        <f ca="1">OFFSET(Gemini抽出データ!$A$1,BI36,2)</f>
        <v>0</v>
      </c>
      <c r="BK37" s="12"/>
      <c r="BL37" s="10" t="str">
        <f>"クライアント名"&amp;BL$1</f>
        <v>クライアント名142</v>
      </c>
      <c r="BM37" s="11">
        <f ca="1">OFFSET(Gemini抽出データ!$A$1,BL36,2)</f>
        <v>0</v>
      </c>
      <c r="BN37" s="12"/>
      <c r="BO37" s="13" t="str">
        <f>"クライアント名"&amp;BO$1</f>
        <v>クライアント名143</v>
      </c>
      <c r="BP37" s="11">
        <f ca="1">OFFSET(Gemini抽出データ!$A$1,BO36,2)</f>
        <v>0</v>
      </c>
      <c r="BQ37" s="11"/>
      <c r="BR37" s="10" t="str">
        <f>"クライアント名"&amp;BR$1</f>
        <v>クライアント名144</v>
      </c>
      <c r="BS37" s="11">
        <f ca="1">OFFSET(Gemini抽出データ!$A$1,BR36,2)</f>
        <v>0</v>
      </c>
      <c r="BT37" s="12"/>
      <c r="BU37" s="10" t="str">
        <f>"クライアント名"&amp;BU$1</f>
        <v>クライアント名169</v>
      </c>
      <c r="BV37" s="11">
        <f ca="1">OFFSET(Gemini抽出データ!$A$1,BU36,2)</f>
        <v>0</v>
      </c>
      <c r="BW37" s="12"/>
      <c r="BX37" s="10" t="str">
        <f>"クライアント名"&amp;BX$1</f>
        <v>クライアント名170</v>
      </c>
      <c r="BY37" s="11">
        <f ca="1">OFFSET(Gemini抽出データ!$A$1,BX36,2)</f>
        <v>0</v>
      </c>
      <c r="BZ37" s="12"/>
      <c r="CA37" s="13" t="str">
        <f>"クライアント名"&amp;CA$1</f>
        <v>クライアント名171</v>
      </c>
      <c r="CB37" s="11">
        <f ca="1">OFFSET(Gemini抽出データ!$A$1,CA36,2)</f>
        <v>0</v>
      </c>
      <c r="CC37" s="11"/>
      <c r="CD37" s="10" t="str">
        <f>"クライアント名"&amp;CD$1</f>
        <v>クライアント名172</v>
      </c>
      <c r="CE37" s="11">
        <f ca="1">OFFSET(Gemini抽出データ!$A$1,CD36,2)</f>
        <v>0</v>
      </c>
      <c r="CF37" s="12"/>
      <c r="CG37" s="10" t="str">
        <f>"クライアント名"&amp;CG$1</f>
        <v>クライアント名197</v>
      </c>
      <c r="CH37" s="11">
        <f ca="1">OFFSET(Gemini抽出データ!$A$1,CG36,2)</f>
        <v>0</v>
      </c>
      <c r="CI37" s="12"/>
      <c r="CJ37" s="10" t="str">
        <f>"クライアント名"&amp;CJ$1</f>
        <v>クライアント名198</v>
      </c>
      <c r="CK37" s="11">
        <f ca="1">OFFSET(Gemini抽出データ!$A$1,CJ36,2)</f>
        <v>0</v>
      </c>
      <c r="CL37" s="12"/>
      <c r="CM37" s="13" t="str">
        <f>"クライアント名"&amp;CM$1</f>
        <v>クライアント名199</v>
      </c>
      <c r="CN37" s="11">
        <f ca="1">OFFSET(Gemini抽出データ!$A$1,CM36,2)</f>
        <v>0</v>
      </c>
      <c r="CO37" s="11"/>
      <c r="CP37" s="10" t="str">
        <f>"クライアント名"&amp;CP$1</f>
        <v>クライアント名200</v>
      </c>
      <c r="CQ37" s="11">
        <f ca="1">OFFSET(Gemini抽出データ!$A$1,CP36,2)</f>
        <v>0</v>
      </c>
      <c r="CR37" s="12"/>
      <c r="CS37" s="10" t="str">
        <f>"クライアント名"&amp;CS$1</f>
        <v>クライアント名225</v>
      </c>
      <c r="CT37" s="11">
        <f ca="1">OFFSET(Gemini抽出データ!$A$1,CS36,2)</f>
        <v>0</v>
      </c>
      <c r="CU37" s="12"/>
      <c r="CV37" s="10" t="str">
        <f>"クライアント名"&amp;CV$1</f>
        <v>クライアント名226</v>
      </c>
      <c r="CW37" s="11">
        <f ca="1">OFFSET(Gemini抽出データ!$A$1,CV36,2)</f>
        <v>0</v>
      </c>
      <c r="CX37" s="12"/>
      <c r="CY37" s="13" t="str">
        <f>"クライアント名"&amp;CY$1</f>
        <v>クライアント名227</v>
      </c>
      <c r="CZ37" s="11">
        <f ca="1">OFFSET(Gemini抽出データ!$A$1,CY36,2)</f>
        <v>0</v>
      </c>
      <c r="DA37" s="11"/>
      <c r="DB37" s="10" t="str">
        <f>"クライアント名"&amp;DB$1</f>
        <v>クライアント名228</v>
      </c>
      <c r="DC37" s="11">
        <f ca="1">OFFSET(Gemini抽出データ!$A$1,DB36,2)</f>
        <v>0</v>
      </c>
      <c r="DD37" s="12"/>
      <c r="DE37" s="10" t="str">
        <f>"クライアント名"&amp;DE$1</f>
        <v>クライアント名253</v>
      </c>
      <c r="DF37" s="11">
        <f ca="1">OFFSET(Gemini抽出データ!$A$1,DE36,2)</f>
        <v>0</v>
      </c>
      <c r="DG37" s="12"/>
      <c r="DH37" s="10" t="str">
        <f>"クライアント名"&amp;DH$1</f>
        <v>クライアント名254</v>
      </c>
      <c r="DI37" s="11">
        <f ca="1">OFFSET(Gemini抽出データ!$A$1,DH36,2)</f>
        <v>0</v>
      </c>
      <c r="DJ37" s="12"/>
      <c r="DK37" s="13" t="str">
        <f>"クライアント名"&amp;DK$1</f>
        <v>クライアント名255</v>
      </c>
      <c r="DL37" s="11">
        <f ca="1">OFFSET(Gemini抽出データ!$A$1,DK36,2)</f>
        <v>0</v>
      </c>
      <c r="DM37" s="11"/>
      <c r="DN37" s="10" t="str">
        <f>"クライアント名"&amp;DN$1</f>
        <v>クライアント名256</v>
      </c>
      <c r="DO37" s="11">
        <f ca="1">OFFSET(Gemini抽出データ!$A$1,DN36,2)</f>
        <v>0</v>
      </c>
      <c r="DP37" s="12"/>
      <c r="DQ37" s="10" t="str">
        <f>"クライアント名"&amp;DQ$1</f>
        <v>クライアント名281</v>
      </c>
      <c r="DR37" s="11">
        <f ca="1">OFFSET(Gemini抽出データ!$A$1,DQ36,2)</f>
        <v>0</v>
      </c>
      <c r="DS37" s="12"/>
      <c r="DT37" s="10" t="str">
        <f>"クライアント名"&amp;DT$1</f>
        <v>クライアント名282</v>
      </c>
      <c r="DU37" s="11">
        <f ca="1">OFFSET(Gemini抽出データ!$A$1,DT36,2)</f>
        <v>0</v>
      </c>
      <c r="DV37" s="12"/>
      <c r="DW37" s="13" t="str">
        <f>"クライアント名"&amp;DW$1</f>
        <v>クライアント名283</v>
      </c>
      <c r="DX37" s="11">
        <f ca="1">OFFSET(Gemini抽出データ!$A$1,DW36,2)</f>
        <v>0</v>
      </c>
      <c r="DY37" s="11"/>
      <c r="DZ37" s="10" t="str">
        <f>"クライアント名"&amp;DZ$1</f>
        <v>クライアント名284</v>
      </c>
      <c r="EA37" s="11">
        <f ca="1">OFFSET(Gemini抽出データ!$A$1,DZ36,2)</f>
        <v>0</v>
      </c>
      <c r="EB37" s="12"/>
      <c r="EC37" s="10" t="str">
        <f>"クライアント名"&amp;EC$1</f>
        <v>クライアント名309</v>
      </c>
      <c r="ED37" s="11">
        <f ca="1">OFFSET(Gemini抽出データ!$A$1,EC36,2)</f>
        <v>0</v>
      </c>
      <c r="EE37" s="12"/>
      <c r="EF37" s="10" t="str">
        <f>"クライアント名"&amp;EF$1</f>
        <v>クライアント名310</v>
      </c>
      <c r="EG37" s="11">
        <f ca="1">OFFSET(Gemini抽出データ!$A$1,EF36,2)</f>
        <v>0</v>
      </c>
      <c r="EH37" s="12"/>
      <c r="EI37" s="13" t="str">
        <f>"クライアント名"&amp;EI$1</f>
        <v>クライアント名311</v>
      </c>
      <c r="EJ37" s="11">
        <f ca="1">OFFSET(Gemini抽出データ!$A$1,EI36,2)</f>
        <v>0</v>
      </c>
      <c r="EK37" s="11"/>
      <c r="EL37" s="10" t="str">
        <f>"クライアント名"&amp;EL$1</f>
        <v>クライアント名312</v>
      </c>
      <c r="EM37" s="11">
        <f ca="1">OFFSET(Gemini抽出データ!$A$1,EL36,2)</f>
        <v>0</v>
      </c>
      <c r="EN37" s="12"/>
      <c r="EO37" s="10" t="str">
        <f>"クライアント名"&amp;EO$1</f>
        <v>クライアント名337</v>
      </c>
      <c r="EP37" s="11">
        <f ca="1">OFFSET(Gemini抽出データ!$A$1,EO36,2)</f>
        <v>0</v>
      </c>
      <c r="EQ37" s="12"/>
      <c r="ER37" s="10" t="str">
        <f>"クライアント名"&amp;ER$1</f>
        <v>クライアント名338</v>
      </c>
      <c r="ES37" s="11">
        <f ca="1">OFFSET(Gemini抽出データ!$A$1,ER36,2)</f>
        <v>0</v>
      </c>
      <c r="ET37" s="12"/>
      <c r="EU37" s="13" t="str">
        <f>"クライアント名"&amp;EU$1</f>
        <v>クライアント名339</v>
      </c>
      <c r="EV37" s="11">
        <f ca="1">OFFSET(Gemini抽出データ!$A$1,EU36,2)</f>
        <v>0</v>
      </c>
      <c r="EW37" s="11"/>
      <c r="EX37" s="10" t="str">
        <f>"クライアント名"&amp;EX$1</f>
        <v>クライアント名340</v>
      </c>
      <c r="EY37" s="11">
        <f ca="1">OFFSET(Gemini抽出データ!$A$1,EX36,2)</f>
        <v>0</v>
      </c>
      <c r="EZ37" s="12"/>
      <c r="FA37" s="10" t="str">
        <f>"クライアント名"&amp;FA$1</f>
        <v>クライアント名365</v>
      </c>
      <c r="FB37" s="11">
        <f ca="1">OFFSET(Gemini抽出データ!$A$1,FA36,2)</f>
        <v>0</v>
      </c>
      <c r="FC37" s="12"/>
      <c r="FD37" s="10" t="str">
        <f>"クライアント名"&amp;FD$1</f>
        <v>クライアント名366</v>
      </c>
      <c r="FE37" s="11">
        <f ca="1">OFFSET(Gemini抽出データ!$A$1,FD36,2)</f>
        <v>0</v>
      </c>
      <c r="FF37" s="12"/>
      <c r="FG37" s="13" t="str">
        <f>"クライアント名"&amp;FG$1</f>
        <v>クライアント名367</v>
      </c>
      <c r="FH37" s="11">
        <f ca="1">OFFSET(Gemini抽出データ!$A$1,FG36,2)</f>
        <v>0</v>
      </c>
      <c r="FI37" s="11"/>
      <c r="FJ37" s="10" t="str">
        <f>"クライアント名"&amp;FJ$1</f>
        <v>クライアント名368</v>
      </c>
      <c r="FK37" s="11">
        <f ca="1">OFFSET(Gemini抽出データ!$A$1,FJ36,2)</f>
        <v>0</v>
      </c>
      <c r="FL37" s="12"/>
      <c r="FM37" s="10" t="str">
        <f>"クライアント名"&amp;FM$1</f>
        <v>クライアント名393</v>
      </c>
      <c r="FN37" s="11">
        <f ca="1">OFFSET(Gemini抽出データ!$A$1,FM36,2)</f>
        <v>0</v>
      </c>
      <c r="FO37" s="12"/>
      <c r="FP37" s="10" t="str">
        <f>"クライアント名"&amp;FP$1</f>
        <v>クライアント名394</v>
      </c>
      <c r="FQ37" s="11">
        <f ca="1">OFFSET(Gemini抽出データ!$A$1,FP36,2)</f>
        <v>0</v>
      </c>
      <c r="FR37" s="12"/>
      <c r="FS37" s="13" t="str">
        <f>"クライアント名"&amp;FS$1</f>
        <v>クライアント名395</v>
      </c>
      <c r="FT37" s="11">
        <f ca="1">OFFSET(Gemini抽出データ!$A$1,FS36,2)</f>
        <v>0</v>
      </c>
      <c r="FU37" s="11"/>
      <c r="FV37" s="10" t="str">
        <f>"クライアント名"&amp;FV$1</f>
        <v>クライアント名396</v>
      </c>
      <c r="FW37" s="11">
        <f ca="1">OFFSET(Gemini抽出データ!$A$1,FV36,2)</f>
        <v>0</v>
      </c>
      <c r="FX37" s="12"/>
      <c r="FY37" s="10" t="str">
        <f>"クライアント名"&amp;FY$1</f>
        <v>クライアント名421</v>
      </c>
      <c r="FZ37" s="11">
        <f ca="1">OFFSET(Gemini抽出データ!$A$1,FY36,2)</f>
        <v>0</v>
      </c>
      <c r="GA37" s="12"/>
      <c r="GB37" s="10" t="str">
        <f>"クライアント名"&amp;GB$1</f>
        <v>クライアント名422</v>
      </c>
      <c r="GC37" s="11">
        <f ca="1">OFFSET(Gemini抽出データ!$A$1,GB36,2)</f>
        <v>0</v>
      </c>
      <c r="GD37" s="12"/>
      <c r="GE37" s="13" t="str">
        <f>"クライアント名"&amp;GE$1</f>
        <v>クライアント名423</v>
      </c>
      <c r="GF37" s="11">
        <f ca="1">OFFSET(Gemini抽出データ!$A$1,GE36,2)</f>
        <v>0</v>
      </c>
      <c r="GG37" s="11"/>
      <c r="GH37" s="10" t="str">
        <f>"クライアント名"&amp;GH$1</f>
        <v>クライアント名424</v>
      </c>
      <c r="GI37" s="11">
        <f ca="1">OFFSET(Gemini抽出データ!$A$1,GH36,2)</f>
        <v>0</v>
      </c>
      <c r="GJ37" s="12"/>
      <c r="GK37" s="10" t="str">
        <f>"クライアント名"&amp;GK$1</f>
        <v>クライアント名449</v>
      </c>
      <c r="GL37" s="11">
        <f ca="1">OFFSET(Gemini抽出データ!$A$1,GK36,2)</f>
        <v>0</v>
      </c>
      <c r="GM37" s="12"/>
      <c r="GN37" s="10" t="str">
        <f>"クライアント名"&amp;GN$1</f>
        <v>クライアント名450</v>
      </c>
      <c r="GO37" s="11">
        <f ca="1">OFFSET(Gemini抽出データ!$A$1,GN36,2)</f>
        <v>0</v>
      </c>
      <c r="GP37" s="12"/>
      <c r="GQ37" s="13" t="str">
        <f>"クライアント名"&amp;GQ$1</f>
        <v>クライアント名451</v>
      </c>
      <c r="GR37" s="11">
        <f ca="1">OFFSET(Gemini抽出データ!$A$1,GQ36,2)</f>
        <v>0</v>
      </c>
      <c r="GS37" s="11"/>
      <c r="GT37" s="10" t="str">
        <f>"クライアント名"&amp;GT$1</f>
        <v>クライアント名452</v>
      </c>
      <c r="GU37" s="11">
        <f ca="1">OFFSET(Gemini抽出データ!$A$1,GT36,2)</f>
        <v>0</v>
      </c>
      <c r="GV37" s="12"/>
      <c r="GW37" s="10" t="str">
        <f>"クライアント名"&amp;GW$1</f>
        <v>クライアント名477</v>
      </c>
      <c r="GX37" s="11">
        <f ca="1">OFFSET(Gemini抽出データ!$A$1,GW36,2)</f>
        <v>0</v>
      </c>
      <c r="GY37" s="12"/>
      <c r="GZ37" s="10" t="str">
        <f>"クライアント名"&amp;GZ$1</f>
        <v>クライアント名478</v>
      </c>
      <c r="HA37" s="11">
        <f ca="1">OFFSET(Gemini抽出データ!$A$1,GZ36,2)</f>
        <v>0</v>
      </c>
      <c r="HB37" s="12"/>
      <c r="HC37" s="13" t="str">
        <f>"クライアント名"&amp;HC$1</f>
        <v>クライアント名479</v>
      </c>
      <c r="HD37" s="11">
        <f ca="1">OFFSET(Gemini抽出データ!$A$1,HC36,2)</f>
        <v>0</v>
      </c>
      <c r="HE37" s="11"/>
      <c r="HF37" s="10" t="str">
        <f>"クライアント名"&amp;HF$1</f>
        <v>クライアント名480</v>
      </c>
      <c r="HG37" s="11">
        <f ca="1">OFFSET(Gemini抽出データ!$A$1,HF36,2)</f>
        <v>0</v>
      </c>
      <c r="HH37" s="12"/>
      <c r="HI37" s="10" t="str">
        <f>"クライアント名"&amp;HI$1</f>
        <v>クライアント名505</v>
      </c>
      <c r="HJ37" s="11">
        <f ca="1">OFFSET(Gemini抽出データ!$A$1,HI36,2)</f>
        <v>0</v>
      </c>
      <c r="HK37" s="12"/>
      <c r="HL37" s="10" t="str">
        <f>"クライアント名"&amp;HL$1</f>
        <v>クライアント名506</v>
      </c>
      <c r="HM37" s="11">
        <f ca="1">OFFSET(Gemini抽出データ!$A$1,HL36,2)</f>
        <v>0</v>
      </c>
      <c r="HN37" s="12"/>
      <c r="HO37" s="13" t="str">
        <f>"クライアント名"&amp;HO$1</f>
        <v>クライアント名507</v>
      </c>
      <c r="HP37" s="11">
        <f ca="1">OFFSET(Gemini抽出データ!$A$1,HO36,2)</f>
        <v>0</v>
      </c>
      <c r="HQ37" s="11"/>
      <c r="HR37" s="10" t="str">
        <f>"クライアント名"&amp;HR$1</f>
        <v>クライアント名508</v>
      </c>
      <c r="HS37" s="11">
        <f ca="1">OFFSET(Gemini抽出データ!$A$1,HR36,2)</f>
        <v>0</v>
      </c>
      <c r="HT37" s="12"/>
      <c r="HU37" t="e">
        <f ca="1">OFFSET(Gemini抽出データ!$A$1,#REF!,2)</f>
        <v>#REF!</v>
      </c>
    </row>
    <row r="38" spans="1:230" ht="17.100000000000001" customHeight="1" x14ac:dyDescent="0.45">
      <c r="A38" s="10" t="str">
        <f>"種類"&amp;A$1</f>
        <v>種類1</v>
      </c>
      <c r="B38" s="25" t="str">
        <f ca="1">IF(OFFSET(Gemini抽出データ!$A$1,A36,1)=0,"",OFFSET(Gemini抽出データ!$A$1,A36,1))</f>
        <v/>
      </c>
      <c r="C38" s="27"/>
      <c r="D38" s="30" t="str">
        <f>"学年"&amp;D$1</f>
        <v>学年2</v>
      </c>
      <c r="E38" s="25" t="str">
        <f ca="1">IF(OFFSET(Gemini抽出データ!$A$1,D36,1)=0,"",OFFSET(Gemini抽出データ!$A$1,D36,1))</f>
        <v/>
      </c>
      <c r="F38" s="27"/>
      <c r="G38" s="31" t="str">
        <f>"学年"&amp;G$1</f>
        <v>学年3</v>
      </c>
      <c r="H38" s="25" t="str">
        <f ca="1">IF(OFFSET(Gemini抽出データ!$A$1,G36,1)=0,"",OFFSET(Gemini抽出データ!$A$1,G36,1))</f>
        <v/>
      </c>
      <c r="I38" s="26"/>
      <c r="J38" s="30" t="str">
        <f>"学年"&amp;J$1</f>
        <v>学年4</v>
      </c>
      <c r="K38" s="25" t="str">
        <f ca="1">IF(OFFSET(Gemini抽出データ!$A$1,J36,1)=0,"",OFFSET(Gemini抽出データ!$A$1,J36,1))</f>
        <v/>
      </c>
      <c r="L38" s="27"/>
      <c r="M38" s="10" t="str">
        <f>"種類"&amp;M$1</f>
        <v>種類29</v>
      </c>
      <c r="N38" s="25" t="str">
        <f ca="1">IF(OFFSET(Gemini抽出データ!$A$1,M36,1)=0,"",OFFSET(Gemini抽出データ!$A$1,M36,1))</f>
        <v/>
      </c>
      <c r="O38" s="27"/>
      <c r="P38" s="30" t="str">
        <f>"学年"&amp;P$1</f>
        <v>学年30</v>
      </c>
      <c r="Q38" s="25" t="str">
        <f ca="1">IF(OFFSET(Gemini抽出データ!$A$1,P36,1)=0,"",OFFSET(Gemini抽出データ!$A$1,P36,1))</f>
        <v/>
      </c>
      <c r="R38" s="27"/>
      <c r="S38" s="31" t="str">
        <f>"学年"&amp;S$1</f>
        <v>学年31</v>
      </c>
      <c r="T38" s="25" t="str">
        <f ca="1">IF(OFFSET(Gemini抽出データ!$A$1,S36,1)=0,"",OFFSET(Gemini抽出データ!$A$1,S36,1))</f>
        <v/>
      </c>
      <c r="U38" s="26"/>
      <c r="V38" s="30" t="str">
        <f>"学年"&amp;V$1</f>
        <v>学年32</v>
      </c>
      <c r="W38" s="25" t="str">
        <f ca="1">IF(OFFSET(Gemini抽出データ!$A$1,V36,1)=0,"",OFFSET(Gemini抽出データ!$A$1,V36,1))</f>
        <v/>
      </c>
      <c r="X38" s="27"/>
      <c r="Y38" s="10" t="str">
        <f>"種類"&amp;Y$1</f>
        <v>種類57</v>
      </c>
      <c r="Z38" s="25" t="str">
        <f ca="1">IF(OFFSET(Gemini抽出データ!$A$1,Y36,1)=0,"",OFFSET(Gemini抽出データ!$A$1,Y36,1))</f>
        <v/>
      </c>
      <c r="AA38" s="27"/>
      <c r="AB38" s="30" t="str">
        <f>"学年"&amp;AB$1</f>
        <v>学年58</v>
      </c>
      <c r="AC38" s="25" t="str">
        <f ca="1">IF(OFFSET(Gemini抽出データ!$A$1,AB36,1)=0,"",OFFSET(Gemini抽出データ!$A$1,AB36,1))</f>
        <v/>
      </c>
      <c r="AD38" s="27"/>
      <c r="AE38" s="31" t="str">
        <f>"学年"&amp;AE$1</f>
        <v>学年59</v>
      </c>
      <c r="AF38" s="25" t="str">
        <f ca="1">IF(OFFSET(Gemini抽出データ!$A$1,AE36,1)=0,"",OFFSET(Gemini抽出データ!$A$1,AE36,1))</f>
        <v/>
      </c>
      <c r="AG38" s="26"/>
      <c r="AH38" s="30" t="str">
        <f>"学年"&amp;AH$1</f>
        <v>学年60</v>
      </c>
      <c r="AI38" s="25" t="str">
        <f ca="1">IF(OFFSET(Gemini抽出データ!$A$1,AH36,1)=0,"",OFFSET(Gemini抽出データ!$A$1,AH36,1))</f>
        <v/>
      </c>
      <c r="AJ38" s="27"/>
      <c r="AK38" s="10" t="str">
        <f>"種類"&amp;AK$1</f>
        <v>種類85</v>
      </c>
      <c r="AL38" s="25" t="str">
        <f ca="1">IF(OFFSET(Gemini抽出データ!$A$1,AK36,1)=0,"",OFFSET(Gemini抽出データ!$A$1,AK36,1))</f>
        <v/>
      </c>
      <c r="AM38" s="27"/>
      <c r="AN38" s="30" t="str">
        <f>"学年"&amp;AN$1</f>
        <v>学年86</v>
      </c>
      <c r="AO38" s="25" t="str">
        <f ca="1">IF(OFFSET(Gemini抽出データ!$A$1,AN36,1)=0,"",OFFSET(Gemini抽出データ!$A$1,AN36,1))</f>
        <v/>
      </c>
      <c r="AP38" s="27"/>
      <c r="AQ38" s="31" t="str">
        <f>"学年"&amp;AQ$1</f>
        <v>学年87</v>
      </c>
      <c r="AR38" s="25" t="str">
        <f ca="1">IF(OFFSET(Gemini抽出データ!$A$1,AQ36,1)=0,"",OFFSET(Gemini抽出データ!$A$1,AQ36,1))</f>
        <v/>
      </c>
      <c r="AS38" s="26"/>
      <c r="AT38" s="30" t="str">
        <f>"学年"&amp;AT$1</f>
        <v>学年88</v>
      </c>
      <c r="AU38" s="25" t="str">
        <f ca="1">IF(OFFSET(Gemini抽出データ!$A$1,AT36,1)=0,"",OFFSET(Gemini抽出データ!$A$1,AT36,1))</f>
        <v/>
      </c>
      <c r="AV38" s="27"/>
      <c r="AW38" s="10" t="str">
        <f>"種類"&amp;AW$1</f>
        <v>種類113</v>
      </c>
      <c r="AX38" s="25" t="str">
        <f ca="1">IF(OFFSET(Gemini抽出データ!$A$1,AW36,1)=0,"",OFFSET(Gemini抽出データ!$A$1,AW36,1))</f>
        <v/>
      </c>
      <c r="AY38" s="27"/>
      <c r="AZ38" s="30" t="str">
        <f>"学年"&amp;AZ$1</f>
        <v>学年114</v>
      </c>
      <c r="BA38" s="25" t="str">
        <f ca="1">IF(OFFSET(Gemini抽出データ!$A$1,AZ36,1)=0,"",OFFSET(Gemini抽出データ!$A$1,AZ36,1))</f>
        <v/>
      </c>
      <c r="BB38" s="27"/>
      <c r="BC38" s="31" t="str">
        <f>"学年"&amp;BC$1</f>
        <v>学年115</v>
      </c>
      <c r="BD38" s="25" t="str">
        <f ca="1">IF(OFFSET(Gemini抽出データ!$A$1,BC36,1)=0,"",OFFSET(Gemini抽出データ!$A$1,BC36,1))</f>
        <v/>
      </c>
      <c r="BE38" s="26"/>
      <c r="BF38" s="30" t="str">
        <f>"学年"&amp;BF$1</f>
        <v>学年116</v>
      </c>
      <c r="BG38" s="25" t="str">
        <f ca="1">IF(OFFSET(Gemini抽出データ!$A$1,BF36,1)=0,"",OFFSET(Gemini抽出データ!$A$1,BF36,1))</f>
        <v/>
      </c>
      <c r="BH38" s="27"/>
      <c r="BI38" s="10" t="str">
        <f>"種類"&amp;BI$1</f>
        <v>種類141</v>
      </c>
      <c r="BJ38" s="25" t="str">
        <f ca="1">IF(OFFSET(Gemini抽出データ!$A$1,BI36,1)=0,"",OFFSET(Gemini抽出データ!$A$1,BI36,1))</f>
        <v/>
      </c>
      <c r="BK38" s="27"/>
      <c r="BL38" s="30" t="str">
        <f>"学年"&amp;BL$1</f>
        <v>学年142</v>
      </c>
      <c r="BM38" s="25" t="str">
        <f ca="1">IF(OFFSET(Gemini抽出データ!$A$1,BL36,1)=0,"",OFFSET(Gemini抽出データ!$A$1,BL36,1))</f>
        <v/>
      </c>
      <c r="BN38" s="27"/>
      <c r="BO38" s="31" t="str">
        <f>"学年"&amp;BO$1</f>
        <v>学年143</v>
      </c>
      <c r="BP38" s="25" t="str">
        <f ca="1">IF(OFFSET(Gemini抽出データ!$A$1,BO36,1)=0,"",OFFSET(Gemini抽出データ!$A$1,BO36,1))</f>
        <v/>
      </c>
      <c r="BQ38" s="26"/>
      <c r="BR38" s="30" t="str">
        <f>"学年"&amp;BR$1</f>
        <v>学年144</v>
      </c>
      <c r="BS38" s="25" t="str">
        <f ca="1">IF(OFFSET(Gemini抽出データ!$A$1,BR36,1)=0,"",OFFSET(Gemini抽出データ!$A$1,BR36,1))</f>
        <v/>
      </c>
      <c r="BT38" s="27"/>
      <c r="BU38" s="10" t="str">
        <f>"種類"&amp;BU$1</f>
        <v>種類169</v>
      </c>
      <c r="BV38" s="25" t="str">
        <f ca="1">IF(OFFSET(Gemini抽出データ!$A$1,BU36,1)=0,"",OFFSET(Gemini抽出データ!$A$1,BU36,1))</f>
        <v/>
      </c>
      <c r="BW38" s="27"/>
      <c r="BX38" s="30" t="str">
        <f>"学年"&amp;BX$1</f>
        <v>学年170</v>
      </c>
      <c r="BY38" s="25" t="str">
        <f ca="1">IF(OFFSET(Gemini抽出データ!$A$1,BX36,1)=0,"",OFFSET(Gemini抽出データ!$A$1,BX36,1))</f>
        <v/>
      </c>
      <c r="BZ38" s="27"/>
      <c r="CA38" s="31" t="str">
        <f>"学年"&amp;CA$1</f>
        <v>学年171</v>
      </c>
      <c r="CB38" s="25" t="str">
        <f ca="1">IF(OFFSET(Gemini抽出データ!$A$1,CA36,1)=0,"",OFFSET(Gemini抽出データ!$A$1,CA36,1))</f>
        <v/>
      </c>
      <c r="CC38" s="26"/>
      <c r="CD38" s="30" t="str">
        <f>"学年"&amp;CD$1</f>
        <v>学年172</v>
      </c>
      <c r="CE38" s="25" t="str">
        <f ca="1">IF(OFFSET(Gemini抽出データ!$A$1,CD36,1)=0,"",OFFSET(Gemini抽出データ!$A$1,CD36,1))</f>
        <v/>
      </c>
      <c r="CF38" s="27"/>
      <c r="CG38" s="10" t="str">
        <f>"種類"&amp;CG$1</f>
        <v>種類197</v>
      </c>
      <c r="CH38" s="25" t="str">
        <f ca="1">IF(OFFSET(Gemini抽出データ!$A$1,CG36,1)=0,"",OFFSET(Gemini抽出データ!$A$1,CG36,1))</f>
        <v/>
      </c>
      <c r="CI38" s="27"/>
      <c r="CJ38" s="30" t="str">
        <f>"学年"&amp;CJ$1</f>
        <v>学年198</v>
      </c>
      <c r="CK38" s="25" t="str">
        <f ca="1">IF(OFFSET(Gemini抽出データ!$A$1,CJ36,1)=0,"",OFFSET(Gemini抽出データ!$A$1,CJ36,1))</f>
        <v/>
      </c>
      <c r="CL38" s="27"/>
      <c r="CM38" s="31" t="str">
        <f>"学年"&amp;CM$1</f>
        <v>学年199</v>
      </c>
      <c r="CN38" s="25" t="str">
        <f ca="1">IF(OFFSET(Gemini抽出データ!$A$1,CM36,1)=0,"",OFFSET(Gemini抽出データ!$A$1,CM36,1))</f>
        <v/>
      </c>
      <c r="CO38" s="26"/>
      <c r="CP38" s="30" t="str">
        <f>"学年"&amp;CP$1</f>
        <v>学年200</v>
      </c>
      <c r="CQ38" s="25" t="str">
        <f ca="1">IF(OFFSET(Gemini抽出データ!$A$1,CP36,1)=0,"",OFFSET(Gemini抽出データ!$A$1,CP36,1))</f>
        <v/>
      </c>
      <c r="CR38" s="27"/>
      <c r="CS38" s="10" t="str">
        <f>"種類"&amp;CS$1</f>
        <v>種類225</v>
      </c>
      <c r="CT38" s="25" t="str">
        <f ca="1">IF(OFFSET(Gemini抽出データ!$A$1,CS36,1)=0,"",OFFSET(Gemini抽出データ!$A$1,CS36,1))</f>
        <v/>
      </c>
      <c r="CU38" s="27"/>
      <c r="CV38" s="30" t="str">
        <f>"学年"&amp;CV$1</f>
        <v>学年226</v>
      </c>
      <c r="CW38" s="25" t="str">
        <f ca="1">IF(OFFSET(Gemini抽出データ!$A$1,CV36,1)=0,"",OFFSET(Gemini抽出データ!$A$1,CV36,1))</f>
        <v/>
      </c>
      <c r="CX38" s="27"/>
      <c r="CY38" s="31" t="str">
        <f>"学年"&amp;CY$1</f>
        <v>学年227</v>
      </c>
      <c r="CZ38" s="25" t="str">
        <f ca="1">IF(OFFSET(Gemini抽出データ!$A$1,CY36,1)=0,"",OFFSET(Gemini抽出データ!$A$1,CY36,1))</f>
        <v/>
      </c>
      <c r="DA38" s="26"/>
      <c r="DB38" s="30" t="str">
        <f>"学年"&amp;DB$1</f>
        <v>学年228</v>
      </c>
      <c r="DC38" s="25" t="str">
        <f ca="1">IF(OFFSET(Gemini抽出データ!$A$1,DB36,1)=0,"",OFFSET(Gemini抽出データ!$A$1,DB36,1))</f>
        <v/>
      </c>
      <c r="DD38" s="27"/>
      <c r="DE38" s="10" t="str">
        <f>"種類"&amp;DE$1</f>
        <v>種類253</v>
      </c>
      <c r="DF38" s="25" t="str">
        <f ca="1">IF(OFFSET(Gemini抽出データ!$A$1,DE36,1)=0,"",OFFSET(Gemini抽出データ!$A$1,DE36,1))</f>
        <v/>
      </c>
      <c r="DG38" s="27"/>
      <c r="DH38" s="30" t="str">
        <f>"学年"&amp;DH$1</f>
        <v>学年254</v>
      </c>
      <c r="DI38" s="25" t="str">
        <f ca="1">IF(OFFSET(Gemini抽出データ!$A$1,DH36,1)=0,"",OFFSET(Gemini抽出データ!$A$1,DH36,1))</f>
        <v/>
      </c>
      <c r="DJ38" s="27"/>
      <c r="DK38" s="31" t="str">
        <f>"学年"&amp;DK$1</f>
        <v>学年255</v>
      </c>
      <c r="DL38" s="25" t="str">
        <f ca="1">IF(OFFSET(Gemini抽出データ!$A$1,DK36,1)=0,"",OFFSET(Gemini抽出データ!$A$1,DK36,1))</f>
        <v/>
      </c>
      <c r="DM38" s="26"/>
      <c r="DN38" s="30" t="str">
        <f>"学年"&amp;DN$1</f>
        <v>学年256</v>
      </c>
      <c r="DO38" s="25" t="str">
        <f ca="1">IF(OFFSET(Gemini抽出データ!$A$1,DN36,1)=0,"",OFFSET(Gemini抽出データ!$A$1,DN36,1))</f>
        <v/>
      </c>
      <c r="DP38" s="27"/>
      <c r="DQ38" s="10" t="str">
        <f>"種類"&amp;DQ$1</f>
        <v>種類281</v>
      </c>
      <c r="DR38" s="25" t="str">
        <f ca="1">IF(OFFSET(Gemini抽出データ!$A$1,DQ36,1)=0,"",OFFSET(Gemini抽出データ!$A$1,DQ36,1))</f>
        <v/>
      </c>
      <c r="DS38" s="27"/>
      <c r="DT38" s="30" t="str">
        <f>"学年"&amp;DT$1</f>
        <v>学年282</v>
      </c>
      <c r="DU38" s="25" t="str">
        <f ca="1">IF(OFFSET(Gemini抽出データ!$A$1,DT36,1)=0,"",OFFSET(Gemini抽出データ!$A$1,DT36,1))</f>
        <v/>
      </c>
      <c r="DV38" s="27"/>
      <c r="DW38" s="31" t="str">
        <f>"学年"&amp;DW$1</f>
        <v>学年283</v>
      </c>
      <c r="DX38" s="25" t="str">
        <f ca="1">IF(OFFSET(Gemini抽出データ!$A$1,DW36,1)=0,"",OFFSET(Gemini抽出データ!$A$1,DW36,1))</f>
        <v/>
      </c>
      <c r="DY38" s="26"/>
      <c r="DZ38" s="30" t="str">
        <f>"学年"&amp;DZ$1</f>
        <v>学年284</v>
      </c>
      <c r="EA38" s="25" t="str">
        <f ca="1">IF(OFFSET(Gemini抽出データ!$A$1,DZ36,1)=0,"",OFFSET(Gemini抽出データ!$A$1,DZ36,1))</f>
        <v/>
      </c>
      <c r="EB38" s="27"/>
      <c r="EC38" s="10" t="str">
        <f>"種類"&amp;EC$1</f>
        <v>種類309</v>
      </c>
      <c r="ED38" s="25" t="str">
        <f ca="1">IF(OFFSET(Gemini抽出データ!$A$1,EC36,1)=0,"",OFFSET(Gemini抽出データ!$A$1,EC36,1))</f>
        <v/>
      </c>
      <c r="EE38" s="27"/>
      <c r="EF38" s="30" t="str">
        <f>"学年"&amp;EF$1</f>
        <v>学年310</v>
      </c>
      <c r="EG38" s="25" t="str">
        <f ca="1">IF(OFFSET(Gemini抽出データ!$A$1,EF36,1)=0,"",OFFSET(Gemini抽出データ!$A$1,EF36,1))</f>
        <v/>
      </c>
      <c r="EH38" s="27"/>
      <c r="EI38" s="31" t="str">
        <f>"学年"&amp;EI$1</f>
        <v>学年311</v>
      </c>
      <c r="EJ38" s="25" t="str">
        <f ca="1">IF(OFFSET(Gemini抽出データ!$A$1,EI36,1)=0,"",OFFSET(Gemini抽出データ!$A$1,EI36,1))</f>
        <v/>
      </c>
      <c r="EK38" s="26"/>
      <c r="EL38" s="30" t="str">
        <f>"学年"&amp;EL$1</f>
        <v>学年312</v>
      </c>
      <c r="EM38" s="25" t="str">
        <f ca="1">IF(OFFSET(Gemini抽出データ!$A$1,EL36,1)=0,"",OFFSET(Gemini抽出データ!$A$1,EL36,1))</f>
        <v/>
      </c>
      <c r="EN38" s="27"/>
      <c r="EO38" s="10" t="str">
        <f>"種類"&amp;EO$1</f>
        <v>種類337</v>
      </c>
      <c r="EP38" s="25" t="str">
        <f ca="1">IF(OFFSET(Gemini抽出データ!$A$1,EO36,1)=0,"",OFFSET(Gemini抽出データ!$A$1,EO36,1))</f>
        <v/>
      </c>
      <c r="EQ38" s="27"/>
      <c r="ER38" s="30" t="str">
        <f>"学年"&amp;ER$1</f>
        <v>学年338</v>
      </c>
      <c r="ES38" s="25" t="str">
        <f ca="1">IF(OFFSET(Gemini抽出データ!$A$1,ER36,1)=0,"",OFFSET(Gemini抽出データ!$A$1,ER36,1))</f>
        <v/>
      </c>
      <c r="ET38" s="27"/>
      <c r="EU38" s="31" t="str">
        <f>"学年"&amp;EU$1</f>
        <v>学年339</v>
      </c>
      <c r="EV38" s="25" t="str">
        <f ca="1">IF(OFFSET(Gemini抽出データ!$A$1,EU36,1)=0,"",OFFSET(Gemini抽出データ!$A$1,EU36,1))</f>
        <v/>
      </c>
      <c r="EW38" s="26"/>
      <c r="EX38" s="30" t="str">
        <f>"学年"&amp;EX$1</f>
        <v>学年340</v>
      </c>
      <c r="EY38" s="25" t="str">
        <f ca="1">IF(OFFSET(Gemini抽出データ!$A$1,EX36,1)=0,"",OFFSET(Gemini抽出データ!$A$1,EX36,1))</f>
        <v/>
      </c>
      <c r="EZ38" s="27"/>
      <c r="FA38" s="10" t="str">
        <f>"種類"&amp;FA$1</f>
        <v>種類365</v>
      </c>
      <c r="FB38" s="25" t="str">
        <f ca="1">IF(OFFSET(Gemini抽出データ!$A$1,FA36,1)=0,"",OFFSET(Gemini抽出データ!$A$1,FA36,1))</f>
        <v/>
      </c>
      <c r="FC38" s="27"/>
      <c r="FD38" s="30" t="str">
        <f>"学年"&amp;FD$1</f>
        <v>学年366</v>
      </c>
      <c r="FE38" s="25" t="str">
        <f ca="1">IF(OFFSET(Gemini抽出データ!$A$1,FD36,1)=0,"",OFFSET(Gemini抽出データ!$A$1,FD36,1))</f>
        <v/>
      </c>
      <c r="FF38" s="27"/>
      <c r="FG38" s="31" t="str">
        <f>"学年"&amp;FG$1</f>
        <v>学年367</v>
      </c>
      <c r="FH38" s="25" t="str">
        <f ca="1">IF(OFFSET(Gemini抽出データ!$A$1,FG36,1)=0,"",OFFSET(Gemini抽出データ!$A$1,FG36,1))</f>
        <v/>
      </c>
      <c r="FI38" s="26"/>
      <c r="FJ38" s="30" t="str">
        <f>"学年"&amp;FJ$1</f>
        <v>学年368</v>
      </c>
      <c r="FK38" s="25" t="str">
        <f ca="1">IF(OFFSET(Gemini抽出データ!$A$1,FJ36,1)=0,"",OFFSET(Gemini抽出データ!$A$1,FJ36,1))</f>
        <v/>
      </c>
      <c r="FL38" s="27"/>
      <c r="FM38" s="10" t="str">
        <f>"種類"&amp;FM$1</f>
        <v>種類393</v>
      </c>
      <c r="FN38" s="25" t="str">
        <f ca="1">IF(OFFSET(Gemini抽出データ!$A$1,FM36,1)=0,"",OFFSET(Gemini抽出データ!$A$1,FM36,1))</f>
        <v/>
      </c>
      <c r="FO38" s="27"/>
      <c r="FP38" s="30" t="str">
        <f>"学年"&amp;FP$1</f>
        <v>学年394</v>
      </c>
      <c r="FQ38" s="25" t="str">
        <f ca="1">IF(OFFSET(Gemini抽出データ!$A$1,FP36,1)=0,"",OFFSET(Gemini抽出データ!$A$1,FP36,1))</f>
        <v/>
      </c>
      <c r="FR38" s="27"/>
      <c r="FS38" s="31" t="str">
        <f>"学年"&amp;FS$1</f>
        <v>学年395</v>
      </c>
      <c r="FT38" s="25" t="str">
        <f ca="1">IF(OFFSET(Gemini抽出データ!$A$1,FS36,1)=0,"",OFFSET(Gemini抽出データ!$A$1,FS36,1))</f>
        <v/>
      </c>
      <c r="FU38" s="26"/>
      <c r="FV38" s="30" t="str">
        <f>"学年"&amp;FV$1</f>
        <v>学年396</v>
      </c>
      <c r="FW38" s="25" t="str">
        <f ca="1">IF(OFFSET(Gemini抽出データ!$A$1,FV36,1)=0,"",OFFSET(Gemini抽出データ!$A$1,FV36,1))</f>
        <v/>
      </c>
      <c r="FX38" s="27"/>
      <c r="FY38" s="10" t="str">
        <f>"種類"&amp;FY$1</f>
        <v>種類421</v>
      </c>
      <c r="FZ38" s="25" t="str">
        <f ca="1">IF(OFFSET(Gemini抽出データ!$A$1,FY36,1)=0,"",OFFSET(Gemini抽出データ!$A$1,FY36,1))</f>
        <v/>
      </c>
      <c r="GA38" s="27"/>
      <c r="GB38" s="30" t="str">
        <f>"学年"&amp;GB$1</f>
        <v>学年422</v>
      </c>
      <c r="GC38" s="25" t="str">
        <f ca="1">IF(OFFSET(Gemini抽出データ!$A$1,GB36,1)=0,"",OFFSET(Gemini抽出データ!$A$1,GB36,1))</f>
        <v/>
      </c>
      <c r="GD38" s="27"/>
      <c r="GE38" s="31" t="str">
        <f>"学年"&amp;GE$1</f>
        <v>学年423</v>
      </c>
      <c r="GF38" s="25" t="str">
        <f ca="1">IF(OFFSET(Gemini抽出データ!$A$1,GE36,1)=0,"",OFFSET(Gemini抽出データ!$A$1,GE36,1))</f>
        <v/>
      </c>
      <c r="GG38" s="26"/>
      <c r="GH38" s="30" t="str">
        <f>"学年"&amp;GH$1</f>
        <v>学年424</v>
      </c>
      <c r="GI38" s="25" t="str">
        <f ca="1">IF(OFFSET(Gemini抽出データ!$A$1,GH36,1)=0,"",OFFSET(Gemini抽出データ!$A$1,GH36,1))</f>
        <v/>
      </c>
      <c r="GJ38" s="27"/>
      <c r="GK38" s="10" t="str">
        <f>"種類"&amp;GK$1</f>
        <v>種類449</v>
      </c>
      <c r="GL38" s="25" t="str">
        <f ca="1">IF(OFFSET(Gemini抽出データ!$A$1,GK36,1)=0,"",OFFSET(Gemini抽出データ!$A$1,GK36,1))</f>
        <v/>
      </c>
      <c r="GM38" s="27"/>
      <c r="GN38" s="30" t="str">
        <f>"学年"&amp;GN$1</f>
        <v>学年450</v>
      </c>
      <c r="GO38" s="25" t="str">
        <f ca="1">IF(OFFSET(Gemini抽出データ!$A$1,GN36,1)=0,"",OFFSET(Gemini抽出データ!$A$1,GN36,1))</f>
        <v/>
      </c>
      <c r="GP38" s="27"/>
      <c r="GQ38" s="31" t="str">
        <f>"学年"&amp;GQ$1</f>
        <v>学年451</v>
      </c>
      <c r="GR38" s="25" t="str">
        <f ca="1">IF(OFFSET(Gemini抽出データ!$A$1,GQ36,1)=0,"",OFFSET(Gemini抽出データ!$A$1,GQ36,1))</f>
        <v/>
      </c>
      <c r="GS38" s="26"/>
      <c r="GT38" s="30" t="str">
        <f>"学年"&amp;GT$1</f>
        <v>学年452</v>
      </c>
      <c r="GU38" s="25" t="str">
        <f ca="1">IF(OFFSET(Gemini抽出データ!$A$1,GT36,1)=0,"",OFFSET(Gemini抽出データ!$A$1,GT36,1))</f>
        <v/>
      </c>
      <c r="GV38" s="27"/>
      <c r="GW38" s="10" t="str">
        <f>"種類"&amp;GW$1</f>
        <v>種類477</v>
      </c>
      <c r="GX38" s="25" t="str">
        <f ca="1">IF(OFFSET(Gemini抽出データ!$A$1,GW36,1)=0,"",OFFSET(Gemini抽出データ!$A$1,GW36,1))</f>
        <v/>
      </c>
      <c r="GY38" s="27"/>
      <c r="GZ38" s="30" t="str">
        <f>"学年"&amp;GZ$1</f>
        <v>学年478</v>
      </c>
      <c r="HA38" s="25" t="str">
        <f ca="1">IF(OFFSET(Gemini抽出データ!$A$1,GZ36,1)=0,"",OFFSET(Gemini抽出データ!$A$1,GZ36,1))</f>
        <v/>
      </c>
      <c r="HB38" s="27"/>
      <c r="HC38" s="31" t="str">
        <f>"学年"&amp;HC$1</f>
        <v>学年479</v>
      </c>
      <c r="HD38" s="25" t="str">
        <f ca="1">IF(OFFSET(Gemini抽出データ!$A$1,HC36,1)=0,"",OFFSET(Gemini抽出データ!$A$1,HC36,1))</f>
        <v/>
      </c>
      <c r="HE38" s="26"/>
      <c r="HF38" s="30" t="str">
        <f>"学年"&amp;HF$1</f>
        <v>学年480</v>
      </c>
      <c r="HG38" s="25" t="str">
        <f ca="1">IF(OFFSET(Gemini抽出データ!$A$1,HF36,1)=0,"",OFFSET(Gemini抽出データ!$A$1,HF36,1))</f>
        <v/>
      </c>
      <c r="HH38" s="27"/>
      <c r="HI38" s="10" t="str">
        <f>"種類"&amp;HI$1</f>
        <v>種類505</v>
      </c>
      <c r="HJ38" s="25" t="str">
        <f ca="1">IF(OFFSET(Gemini抽出データ!$A$1,HI36,1)=0,"",OFFSET(Gemini抽出データ!$A$1,HI36,1))</f>
        <v/>
      </c>
      <c r="HK38" s="27"/>
      <c r="HL38" s="30" t="str">
        <f>"学年"&amp;HL$1</f>
        <v>学年506</v>
      </c>
      <c r="HM38" s="25" t="str">
        <f ca="1">IF(OFFSET(Gemini抽出データ!$A$1,HL36,1)=0,"",OFFSET(Gemini抽出データ!$A$1,HL36,1))</f>
        <v/>
      </c>
      <c r="HN38" s="27"/>
      <c r="HO38" s="31" t="str">
        <f>"学年"&amp;HO$1</f>
        <v>学年507</v>
      </c>
      <c r="HP38" s="25" t="str">
        <f ca="1">IF(OFFSET(Gemini抽出データ!$A$1,HO36,1)=0,"",OFFSET(Gemini抽出データ!$A$1,HO36,1))</f>
        <v/>
      </c>
      <c r="HQ38" s="26"/>
      <c r="HR38" s="30" t="str">
        <f>"学年"&amp;HR$1</f>
        <v>学年508</v>
      </c>
      <c r="HS38" s="25" t="str">
        <f ca="1">IF(OFFSET(Gemini抽出データ!$A$1,HR36,1)=0,"",OFFSET(Gemini抽出データ!$A$1,HR36,1))</f>
        <v/>
      </c>
      <c r="HT38" s="27"/>
      <c r="HU38" s="2" t="e">
        <f ca="1">IF(OFFSET(Gemini抽出データ!$A$1,#REF!,1)=0,"",OFFSET(Gemini抽出データ!$A$1,#REF!,1))</f>
        <v>#REF!</v>
      </c>
      <c r="HV38" s="3"/>
    </row>
    <row r="39" spans="1:230" ht="17.100000000000001" customHeight="1" x14ac:dyDescent="0.45">
      <c r="A39" s="10" t="str">
        <f>"学年"&amp;A$1</f>
        <v>学年1</v>
      </c>
      <c r="B39" s="26"/>
      <c r="C39" s="27"/>
      <c r="D39" s="30"/>
      <c r="E39" s="26"/>
      <c r="F39" s="27"/>
      <c r="G39" s="31"/>
      <c r="H39" s="26"/>
      <c r="I39" s="26"/>
      <c r="J39" s="30"/>
      <c r="K39" s="26"/>
      <c r="L39" s="27"/>
      <c r="M39" s="10" t="str">
        <f>"学年"&amp;M$1</f>
        <v>学年29</v>
      </c>
      <c r="N39" s="26"/>
      <c r="O39" s="27"/>
      <c r="P39" s="30"/>
      <c r="Q39" s="26"/>
      <c r="R39" s="27"/>
      <c r="S39" s="31"/>
      <c r="T39" s="26"/>
      <c r="U39" s="26"/>
      <c r="V39" s="30"/>
      <c r="W39" s="26"/>
      <c r="X39" s="27"/>
      <c r="Y39" s="10" t="str">
        <f>"学年"&amp;Y$1</f>
        <v>学年57</v>
      </c>
      <c r="Z39" s="26"/>
      <c r="AA39" s="27"/>
      <c r="AB39" s="30"/>
      <c r="AC39" s="26"/>
      <c r="AD39" s="27"/>
      <c r="AE39" s="31"/>
      <c r="AF39" s="26"/>
      <c r="AG39" s="26"/>
      <c r="AH39" s="30"/>
      <c r="AI39" s="26"/>
      <c r="AJ39" s="27"/>
      <c r="AK39" s="10" t="str">
        <f>"学年"&amp;AK$1</f>
        <v>学年85</v>
      </c>
      <c r="AL39" s="26"/>
      <c r="AM39" s="27"/>
      <c r="AN39" s="30"/>
      <c r="AO39" s="26"/>
      <c r="AP39" s="27"/>
      <c r="AQ39" s="31"/>
      <c r="AR39" s="26"/>
      <c r="AS39" s="26"/>
      <c r="AT39" s="30"/>
      <c r="AU39" s="26"/>
      <c r="AV39" s="27"/>
      <c r="AW39" s="10" t="str">
        <f>"学年"&amp;AW$1</f>
        <v>学年113</v>
      </c>
      <c r="AX39" s="26"/>
      <c r="AY39" s="27"/>
      <c r="AZ39" s="30"/>
      <c r="BA39" s="26"/>
      <c r="BB39" s="27"/>
      <c r="BC39" s="31"/>
      <c r="BD39" s="26"/>
      <c r="BE39" s="26"/>
      <c r="BF39" s="30"/>
      <c r="BG39" s="26"/>
      <c r="BH39" s="27"/>
      <c r="BI39" s="10" t="str">
        <f>"学年"&amp;BI$1</f>
        <v>学年141</v>
      </c>
      <c r="BJ39" s="26"/>
      <c r="BK39" s="27"/>
      <c r="BL39" s="30"/>
      <c r="BM39" s="26"/>
      <c r="BN39" s="27"/>
      <c r="BO39" s="31"/>
      <c r="BP39" s="26"/>
      <c r="BQ39" s="26"/>
      <c r="BR39" s="30"/>
      <c r="BS39" s="26"/>
      <c r="BT39" s="27"/>
      <c r="BU39" s="10" t="str">
        <f>"学年"&amp;BU$1</f>
        <v>学年169</v>
      </c>
      <c r="BV39" s="26"/>
      <c r="BW39" s="27"/>
      <c r="BX39" s="30"/>
      <c r="BY39" s="26"/>
      <c r="BZ39" s="27"/>
      <c r="CA39" s="31"/>
      <c r="CB39" s="26"/>
      <c r="CC39" s="26"/>
      <c r="CD39" s="30"/>
      <c r="CE39" s="26"/>
      <c r="CF39" s="27"/>
      <c r="CG39" s="10" t="str">
        <f>"学年"&amp;CG$1</f>
        <v>学年197</v>
      </c>
      <c r="CH39" s="26"/>
      <c r="CI39" s="27"/>
      <c r="CJ39" s="30"/>
      <c r="CK39" s="26"/>
      <c r="CL39" s="27"/>
      <c r="CM39" s="31"/>
      <c r="CN39" s="26"/>
      <c r="CO39" s="26"/>
      <c r="CP39" s="30"/>
      <c r="CQ39" s="26"/>
      <c r="CR39" s="27"/>
      <c r="CS39" s="10" t="str">
        <f>"学年"&amp;CS$1</f>
        <v>学年225</v>
      </c>
      <c r="CT39" s="26"/>
      <c r="CU39" s="27"/>
      <c r="CV39" s="30"/>
      <c r="CW39" s="26"/>
      <c r="CX39" s="27"/>
      <c r="CY39" s="31"/>
      <c r="CZ39" s="26"/>
      <c r="DA39" s="26"/>
      <c r="DB39" s="30"/>
      <c r="DC39" s="26"/>
      <c r="DD39" s="27"/>
      <c r="DE39" s="10" t="str">
        <f>"学年"&amp;DE$1</f>
        <v>学年253</v>
      </c>
      <c r="DF39" s="26"/>
      <c r="DG39" s="27"/>
      <c r="DH39" s="30"/>
      <c r="DI39" s="26"/>
      <c r="DJ39" s="27"/>
      <c r="DK39" s="31"/>
      <c r="DL39" s="26"/>
      <c r="DM39" s="26"/>
      <c r="DN39" s="30"/>
      <c r="DO39" s="26"/>
      <c r="DP39" s="27"/>
      <c r="DQ39" s="10" t="str">
        <f>"学年"&amp;DQ$1</f>
        <v>学年281</v>
      </c>
      <c r="DR39" s="26"/>
      <c r="DS39" s="27"/>
      <c r="DT39" s="30"/>
      <c r="DU39" s="26"/>
      <c r="DV39" s="27"/>
      <c r="DW39" s="31"/>
      <c r="DX39" s="26"/>
      <c r="DY39" s="26"/>
      <c r="DZ39" s="30"/>
      <c r="EA39" s="26"/>
      <c r="EB39" s="27"/>
      <c r="EC39" s="10" t="str">
        <f>"学年"&amp;EC$1</f>
        <v>学年309</v>
      </c>
      <c r="ED39" s="26"/>
      <c r="EE39" s="27"/>
      <c r="EF39" s="30"/>
      <c r="EG39" s="26"/>
      <c r="EH39" s="27"/>
      <c r="EI39" s="31"/>
      <c r="EJ39" s="26"/>
      <c r="EK39" s="26"/>
      <c r="EL39" s="30"/>
      <c r="EM39" s="26"/>
      <c r="EN39" s="27"/>
      <c r="EO39" s="10" t="str">
        <f>"学年"&amp;EO$1</f>
        <v>学年337</v>
      </c>
      <c r="EP39" s="26"/>
      <c r="EQ39" s="27"/>
      <c r="ER39" s="30"/>
      <c r="ES39" s="26"/>
      <c r="ET39" s="27"/>
      <c r="EU39" s="31"/>
      <c r="EV39" s="26"/>
      <c r="EW39" s="26"/>
      <c r="EX39" s="30"/>
      <c r="EY39" s="26"/>
      <c r="EZ39" s="27"/>
      <c r="FA39" s="10" t="str">
        <f>"学年"&amp;FA$1</f>
        <v>学年365</v>
      </c>
      <c r="FB39" s="26"/>
      <c r="FC39" s="27"/>
      <c r="FD39" s="30"/>
      <c r="FE39" s="26"/>
      <c r="FF39" s="27"/>
      <c r="FG39" s="31"/>
      <c r="FH39" s="26"/>
      <c r="FI39" s="26"/>
      <c r="FJ39" s="30"/>
      <c r="FK39" s="26"/>
      <c r="FL39" s="27"/>
      <c r="FM39" s="10" t="str">
        <f>"学年"&amp;FM$1</f>
        <v>学年393</v>
      </c>
      <c r="FN39" s="26"/>
      <c r="FO39" s="27"/>
      <c r="FP39" s="30"/>
      <c r="FQ39" s="26"/>
      <c r="FR39" s="27"/>
      <c r="FS39" s="31"/>
      <c r="FT39" s="26"/>
      <c r="FU39" s="26"/>
      <c r="FV39" s="30"/>
      <c r="FW39" s="26"/>
      <c r="FX39" s="27"/>
      <c r="FY39" s="10" t="str">
        <f>"学年"&amp;FY$1</f>
        <v>学年421</v>
      </c>
      <c r="FZ39" s="26"/>
      <c r="GA39" s="27"/>
      <c r="GB39" s="30"/>
      <c r="GC39" s="26"/>
      <c r="GD39" s="27"/>
      <c r="GE39" s="31"/>
      <c r="GF39" s="26"/>
      <c r="GG39" s="26"/>
      <c r="GH39" s="30"/>
      <c r="GI39" s="26"/>
      <c r="GJ39" s="27"/>
      <c r="GK39" s="10" t="str">
        <f>"学年"&amp;GK$1</f>
        <v>学年449</v>
      </c>
      <c r="GL39" s="26"/>
      <c r="GM39" s="27"/>
      <c r="GN39" s="30"/>
      <c r="GO39" s="26"/>
      <c r="GP39" s="27"/>
      <c r="GQ39" s="31"/>
      <c r="GR39" s="26"/>
      <c r="GS39" s="26"/>
      <c r="GT39" s="30"/>
      <c r="GU39" s="26"/>
      <c r="GV39" s="27"/>
      <c r="GW39" s="10" t="str">
        <f>"学年"&amp;GW$1</f>
        <v>学年477</v>
      </c>
      <c r="GX39" s="26"/>
      <c r="GY39" s="27"/>
      <c r="GZ39" s="30"/>
      <c r="HA39" s="26"/>
      <c r="HB39" s="27"/>
      <c r="HC39" s="31"/>
      <c r="HD39" s="26"/>
      <c r="HE39" s="26"/>
      <c r="HF39" s="30"/>
      <c r="HG39" s="26"/>
      <c r="HH39" s="27"/>
      <c r="HI39" s="10" t="str">
        <f>"学年"&amp;HI$1</f>
        <v>学年505</v>
      </c>
      <c r="HJ39" s="26"/>
      <c r="HK39" s="27"/>
      <c r="HL39" s="30"/>
      <c r="HM39" s="26"/>
      <c r="HN39" s="27"/>
      <c r="HO39" s="31"/>
      <c r="HP39" s="26"/>
      <c r="HQ39" s="26"/>
      <c r="HR39" s="30"/>
      <c r="HS39" s="26"/>
      <c r="HT39" s="27"/>
      <c r="HU39" s="3"/>
      <c r="HV39" s="3"/>
    </row>
    <row r="40" spans="1:230" ht="17.100000000000001" customHeight="1" x14ac:dyDescent="0.45">
      <c r="A40" s="10"/>
      <c r="B40" s="22">
        <f ca="1">OFFSET(Gemini抽出データ!$A$1,A36,3)</f>
        <v>0</v>
      </c>
      <c r="C40" s="24"/>
      <c r="D40" s="28"/>
      <c r="E40" s="22">
        <f ca="1">OFFSET(Gemini抽出データ!$A$1,D36,3)</f>
        <v>0</v>
      </c>
      <c r="F40" s="24"/>
      <c r="G40" s="29"/>
      <c r="H40" s="22">
        <f ca="1">OFFSET(Gemini抽出データ!$A$1,G36,3)</f>
        <v>0</v>
      </c>
      <c r="I40" s="23"/>
      <c r="J40" s="28"/>
      <c r="K40" s="22">
        <f ca="1">OFFSET(Gemini抽出データ!$A$1,J36,3)</f>
        <v>0</v>
      </c>
      <c r="L40" s="24"/>
      <c r="M40" s="10"/>
      <c r="N40" s="22">
        <f ca="1">OFFSET(Gemini抽出データ!$A$1,M36,3)</f>
        <v>0</v>
      </c>
      <c r="O40" s="24"/>
      <c r="P40" s="28"/>
      <c r="Q40" s="22">
        <f ca="1">OFFSET(Gemini抽出データ!$A$1,P36,3)</f>
        <v>0</v>
      </c>
      <c r="R40" s="24"/>
      <c r="S40" s="29"/>
      <c r="T40" s="22">
        <f ca="1">OFFSET(Gemini抽出データ!$A$1,S36,3)</f>
        <v>0</v>
      </c>
      <c r="U40" s="23"/>
      <c r="V40" s="28"/>
      <c r="W40" s="22">
        <f ca="1">OFFSET(Gemini抽出データ!$A$1,V36,3)</f>
        <v>0</v>
      </c>
      <c r="X40" s="24"/>
      <c r="Y40" s="10"/>
      <c r="Z40" s="22">
        <f ca="1">OFFSET(Gemini抽出データ!$A$1,Y36,3)</f>
        <v>0</v>
      </c>
      <c r="AA40" s="24"/>
      <c r="AB40" s="28"/>
      <c r="AC40" s="22">
        <f ca="1">OFFSET(Gemini抽出データ!$A$1,AB36,3)</f>
        <v>0</v>
      </c>
      <c r="AD40" s="24"/>
      <c r="AE40" s="29"/>
      <c r="AF40" s="22">
        <f ca="1">OFFSET(Gemini抽出データ!$A$1,AE36,3)</f>
        <v>0</v>
      </c>
      <c r="AG40" s="23"/>
      <c r="AH40" s="28"/>
      <c r="AI40" s="22">
        <f ca="1">OFFSET(Gemini抽出データ!$A$1,AH36,3)</f>
        <v>0</v>
      </c>
      <c r="AJ40" s="24"/>
      <c r="AK40" s="10"/>
      <c r="AL40" s="22">
        <f ca="1">OFFSET(Gemini抽出データ!$A$1,AK36,3)</f>
        <v>0</v>
      </c>
      <c r="AM40" s="24"/>
      <c r="AN40" s="28"/>
      <c r="AO40" s="22">
        <f ca="1">OFFSET(Gemini抽出データ!$A$1,AN36,3)</f>
        <v>0</v>
      </c>
      <c r="AP40" s="24"/>
      <c r="AQ40" s="29"/>
      <c r="AR40" s="22">
        <f ca="1">OFFSET(Gemini抽出データ!$A$1,AQ36,3)</f>
        <v>0</v>
      </c>
      <c r="AS40" s="23"/>
      <c r="AT40" s="28"/>
      <c r="AU40" s="22">
        <f ca="1">OFFSET(Gemini抽出データ!$A$1,AT36,3)</f>
        <v>0</v>
      </c>
      <c r="AV40" s="24"/>
      <c r="AW40" s="10"/>
      <c r="AX40" s="22">
        <f ca="1">OFFSET(Gemini抽出データ!$A$1,AW36,3)</f>
        <v>0</v>
      </c>
      <c r="AY40" s="24"/>
      <c r="AZ40" s="28"/>
      <c r="BA40" s="22">
        <f ca="1">OFFSET(Gemini抽出データ!$A$1,AZ36,3)</f>
        <v>0</v>
      </c>
      <c r="BB40" s="24"/>
      <c r="BC40" s="29"/>
      <c r="BD40" s="22">
        <f ca="1">OFFSET(Gemini抽出データ!$A$1,BC36,3)</f>
        <v>0</v>
      </c>
      <c r="BE40" s="23"/>
      <c r="BF40" s="28"/>
      <c r="BG40" s="22">
        <f ca="1">OFFSET(Gemini抽出データ!$A$1,BF36,3)</f>
        <v>0</v>
      </c>
      <c r="BH40" s="24"/>
      <c r="BI40" s="10"/>
      <c r="BJ40" s="22">
        <f ca="1">OFFSET(Gemini抽出データ!$A$1,BI36,3)</f>
        <v>0</v>
      </c>
      <c r="BK40" s="24"/>
      <c r="BL40" s="28"/>
      <c r="BM40" s="22">
        <f ca="1">OFFSET(Gemini抽出データ!$A$1,BL36,3)</f>
        <v>0</v>
      </c>
      <c r="BN40" s="24"/>
      <c r="BO40" s="29"/>
      <c r="BP40" s="22">
        <f ca="1">OFFSET(Gemini抽出データ!$A$1,BO36,3)</f>
        <v>0</v>
      </c>
      <c r="BQ40" s="23"/>
      <c r="BR40" s="28"/>
      <c r="BS40" s="22">
        <f ca="1">OFFSET(Gemini抽出データ!$A$1,BR36,3)</f>
        <v>0</v>
      </c>
      <c r="BT40" s="24"/>
      <c r="BU40" s="10"/>
      <c r="BV40" s="22">
        <f ca="1">OFFSET(Gemini抽出データ!$A$1,BU36,3)</f>
        <v>0</v>
      </c>
      <c r="BW40" s="24"/>
      <c r="BX40" s="28"/>
      <c r="BY40" s="22">
        <f ca="1">OFFSET(Gemini抽出データ!$A$1,BX36,3)</f>
        <v>0</v>
      </c>
      <c r="BZ40" s="24"/>
      <c r="CA40" s="29"/>
      <c r="CB40" s="22">
        <f ca="1">OFFSET(Gemini抽出データ!$A$1,CA36,3)</f>
        <v>0</v>
      </c>
      <c r="CC40" s="23"/>
      <c r="CD40" s="28"/>
      <c r="CE40" s="22">
        <f ca="1">OFFSET(Gemini抽出データ!$A$1,CD36,3)</f>
        <v>0</v>
      </c>
      <c r="CF40" s="24"/>
      <c r="CG40" s="10"/>
      <c r="CH40" s="22">
        <f ca="1">OFFSET(Gemini抽出データ!$A$1,CG36,3)</f>
        <v>0</v>
      </c>
      <c r="CI40" s="24"/>
      <c r="CJ40" s="28"/>
      <c r="CK40" s="22">
        <f ca="1">OFFSET(Gemini抽出データ!$A$1,CJ36,3)</f>
        <v>0</v>
      </c>
      <c r="CL40" s="24"/>
      <c r="CM40" s="29"/>
      <c r="CN40" s="22">
        <f ca="1">OFFSET(Gemini抽出データ!$A$1,CM36,3)</f>
        <v>0</v>
      </c>
      <c r="CO40" s="23"/>
      <c r="CP40" s="28"/>
      <c r="CQ40" s="22">
        <f ca="1">OFFSET(Gemini抽出データ!$A$1,CP36,3)</f>
        <v>0</v>
      </c>
      <c r="CR40" s="24"/>
      <c r="CS40" s="10"/>
      <c r="CT40" s="22">
        <f ca="1">OFFSET(Gemini抽出データ!$A$1,CS36,3)</f>
        <v>0</v>
      </c>
      <c r="CU40" s="24"/>
      <c r="CV40" s="28"/>
      <c r="CW40" s="22">
        <f ca="1">OFFSET(Gemini抽出データ!$A$1,CV36,3)</f>
        <v>0</v>
      </c>
      <c r="CX40" s="24"/>
      <c r="CY40" s="29"/>
      <c r="CZ40" s="22">
        <f ca="1">OFFSET(Gemini抽出データ!$A$1,CY36,3)</f>
        <v>0</v>
      </c>
      <c r="DA40" s="23"/>
      <c r="DB40" s="28"/>
      <c r="DC40" s="22">
        <f ca="1">OFFSET(Gemini抽出データ!$A$1,DB36,3)</f>
        <v>0</v>
      </c>
      <c r="DD40" s="24"/>
      <c r="DE40" s="10"/>
      <c r="DF40" s="22">
        <f ca="1">OFFSET(Gemini抽出データ!$A$1,DE36,3)</f>
        <v>0</v>
      </c>
      <c r="DG40" s="24"/>
      <c r="DH40" s="28"/>
      <c r="DI40" s="22">
        <f ca="1">OFFSET(Gemini抽出データ!$A$1,DH36,3)</f>
        <v>0</v>
      </c>
      <c r="DJ40" s="24"/>
      <c r="DK40" s="29"/>
      <c r="DL40" s="22">
        <f ca="1">OFFSET(Gemini抽出データ!$A$1,DK36,3)</f>
        <v>0</v>
      </c>
      <c r="DM40" s="23"/>
      <c r="DN40" s="28"/>
      <c r="DO40" s="22">
        <f ca="1">OFFSET(Gemini抽出データ!$A$1,DN36,3)</f>
        <v>0</v>
      </c>
      <c r="DP40" s="24"/>
      <c r="DQ40" s="10"/>
      <c r="DR40" s="22">
        <f ca="1">OFFSET(Gemini抽出データ!$A$1,DQ36,3)</f>
        <v>0</v>
      </c>
      <c r="DS40" s="24"/>
      <c r="DT40" s="28"/>
      <c r="DU40" s="22">
        <f ca="1">OFFSET(Gemini抽出データ!$A$1,DT36,3)</f>
        <v>0</v>
      </c>
      <c r="DV40" s="24"/>
      <c r="DW40" s="29"/>
      <c r="DX40" s="22">
        <f ca="1">OFFSET(Gemini抽出データ!$A$1,DW36,3)</f>
        <v>0</v>
      </c>
      <c r="DY40" s="23"/>
      <c r="DZ40" s="28"/>
      <c r="EA40" s="22">
        <f ca="1">OFFSET(Gemini抽出データ!$A$1,DZ36,3)</f>
        <v>0</v>
      </c>
      <c r="EB40" s="24"/>
      <c r="EC40" s="10"/>
      <c r="ED40" s="22">
        <f ca="1">OFFSET(Gemini抽出データ!$A$1,EC36,3)</f>
        <v>0</v>
      </c>
      <c r="EE40" s="24"/>
      <c r="EF40" s="28"/>
      <c r="EG40" s="22">
        <f ca="1">OFFSET(Gemini抽出データ!$A$1,EF36,3)</f>
        <v>0</v>
      </c>
      <c r="EH40" s="24"/>
      <c r="EI40" s="29"/>
      <c r="EJ40" s="22">
        <f ca="1">OFFSET(Gemini抽出データ!$A$1,EI36,3)</f>
        <v>0</v>
      </c>
      <c r="EK40" s="23"/>
      <c r="EL40" s="28"/>
      <c r="EM40" s="22">
        <f ca="1">OFFSET(Gemini抽出データ!$A$1,EL36,3)</f>
        <v>0</v>
      </c>
      <c r="EN40" s="24"/>
      <c r="EO40" s="10"/>
      <c r="EP40" s="22">
        <f ca="1">OFFSET(Gemini抽出データ!$A$1,EO36,3)</f>
        <v>0</v>
      </c>
      <c r="EQ40" s="24"/>
      <c r="ER40" s="28"/>
      <c r="ES40" s="22">
        <f ca="1">OFFSET(Gemini抽出データ!$A$1,ER36,3)</f>
        <v>0</v>
      </c>
      <c r="ET40" s="24"/>
      <c r="EU40" s="29"/>
      <c r="EV40" s="22">
        <f ca="1">OFFSET(Gemini抽出データ!$A$1,EU36,3)</f>
        <v>0</v>
      </c>
      <c r="EW40" s="23"/>
      <c r="EX40" s="28"/>
      <c r="EY40" s="22">
        <f ca="1">OFFSET(Gemini抽出データ!$A$1,EX36,3)</f>
        <v>0</v>
      </c>
      <c r="EZ40" s="24"/>
      <c r="FA40" s="10"/>
      <c r="FB40" s="22">
        <f ca="1">OFFSET(Gemini抽出データ!$A$1,FA36,3)</f>
        <v>0</v>
      </c>
      <c r="FC40" s="24"/>
      <c r="FD40" s="28"/>
      <c r="FE40" s="22">
        <f ca="1">OFFSET(Gemini抽出データ!$A$1,FD36,3)</f>
        <v>0</v>
      </c>
      <c r="FF40" s="24"/>
      <c r="FG40" s="29"/>
      <c r="FH40" s="22">
        <f ca="1">OFFSET(Gemini抽出データ!$A$1,FG36,3)</f>
        <v>0</v>
      </c>
      <c r="FI40" s="23"/>
      <c r="FJ40" s="28"/>
      <c r="FK40" s="22">
        <f ca="1">OFFSET(Gemini抽出データ!$A$1,FJ36,3)</f>
        <v>0</v>
      </c>
      <c r="FL40" s="24"/>
      <c r="FM40" s="10"/>
      <c r="FN40" s="22">
        <f ca="1">OFFSET(Gemini抽出データ!$A$1,FM36,3)</f>
        <v>0</v>
      </c>
      <c r="FO40" s="24"/>
      <c r="FP40" s="28"/>
      <c r="FQ40" s="22">
        <f ca="1">OFFSET(Gemini抽出データ!$A$1,FP36,3)</f>
        <v>0</v>
      </c>
      <c r="FR40" s="24"/>
      <c r="FS40" s="29"/>
      <c r="FT40" s="22">
        <f ca="1">OFFSET(Gemini抽出データ!$A$1,FS36,3)</f>
        <v>0</v>
      </c>
      <c r="FU40" s="23"/>
      <c r="FV40" s="28"/>
      <c r="FW40" s="22">
        <f ca="1">OFFSET(Gemini抽出データ!$A$1,FV36,3)</f>
        <v>0</v>
      </c>
      <c r="FX40" s="24"/>
      <c r="FY40" s="10"/>
      <c r="FZ40" s="22">
        <f ca="1">OFFSET(Gemini抽出データ!$A$1,FY36,3)</f>
        <v>0</v>
      </c>
      <c r="GA40" s="24"/>
      <c r="GB40" s="28"/>
      <c r="GC40" s="22">
        <f ca="1">OFFSET(Gemini抽出データ!$A$1,GB36,3)</f>
        <v>0</v>
      </c>
      <c r="GD40" s="24"/>
      <c r="GE40" s="29"/>
      <c r="GF40" s="22">
        <f ca="1">OFFSET(Gemini抽出データ!$A$1,GE36,3)</f>
        <v>0</v>
      </c>
      <c r="GG40" s="23"/>
      <c r="GH40" s="28"/>
      <c r="GI40" s="22">
        <f ca="1">OFFSET(Gemini抽出データ!$A$1,GH36,3)</f>
        <v>0</v>
      </c>
      <c r="GJ40" s="24"/>
      <c r="GK40" s="10"/>
      <c r="GL40" s="22">
        <f ca="1">OFFSET(Gemini抽出データ!$A$1,GK36,3)</f>
        <v>0</v>
      </c>
      <c r="GM40" s="24"/>
      <c r="GN40" s="28"/>
      <c r="GO40" s="22">
        <f ca="1">OFFSET(Gemini抽出データ!$A$1,GN36,3)</f>
        <v>0</v>
      </c>
      <c r="GP40" s="24"/>
      <c r="GQ40" s="29"/>
      <c r="GR40" s="22">
        <f ca="1">OFFSET(Gemini抽出データ!$A$1,GQ36,3)</f>
        <v>0</v>
      </c>
      <c r="GS40" s="23"/>
      <c r="GT40" s="28"/>
      <c r="GU40" s="22">
        <f ca="1">OFFSET(Gemini抽出データ!$A$1,GT36,3)</f>
        <v>0</v>
      </c>
      <c r="GV40" s="24"/>
      <c r="GW40" s="10"/>
      <c r="GX40" s="22">
        <f ca="1">OFFSET(Gemini抽出データ!$A$1,GW36,3)</f>
        <v>0</v>
      </c>
      <c r="GY40" s="24"/>
      <c r="GZ40" s="28"/>
      <c r="HA40" s="22">
        <f ca="1">OFFSET(Gemini抽出データ!$A$1,GZ36,3)</f>
        <v>0</v>
      </c>
      <c r="HB40" s="24"/>
      <c r="HC40" s="29"/>
      <c r="HD40" s="22">
        <f ca="1">OFFSET(Gemini抽出データ!$A$1,HC36,3)</f>
        <v>0</v>
      </c>
      <c r="HE40" s="23"/>
      <c r="HF40" s="28"/>
      <c r="HG40" s="22">
        <f ca="1">OFFSET(Gemini抽出データ!$A$1,HF36,3)</f>
        <v>0</v>
      </c>
      <c r="HH40" s="24"/>
      <c r="HI40" s="10"/>
      <c r="HJ40" s="22">
        <f ca="1">OFFSET(Gemini抽出データ!$A$1,HI36,3)</f>
        <v>0</v>
      </c>
      <c r="HK40" s="24"/>
      <c r="HL40" s="28"/>
      <c r="HM40" s="22">
        <f ca="1">OFFSET(Gemini抽出データ!$A$1,HL36,3)</f>
        <v>0</v>
      </c>
      <c r="HN40" s="24"/>
      <c r="HO40" s="29"/>
      <c r="HP40" s="22">
        <f ca="1">OFFSET(Gemini抽出データ!$A$1,HO36,3)</f>
        <v>0</v>
      </c>
      <c r="HQ40" s="23"/>
      <c r="HR40" s="28"/>
      <c r="HS40" s="22">
        <f ca="1">OFFSET(Gemini抽出データ!$A$1,HR36,3)</f>
        <v>0</v>
      </c>
      <c r="HT40" s="24"/>
      <c r="HU40" s="2" t="e">
        <f ca="1">OFFSET(Gemini抽出データ!$A$1,#REF!,3)</f>
        <v>#REF!</v>
      </c>
      <c r="HV40" s="3"/>
    </row>
    <row r="41" spans="1:230" ht="17.100000000000001" customHeight="1" x14ac:dyDescent="0.45">
      <c r="A41" s="10"/>
      <c r="B41" s="23"/>
      <c r="C41" s="24"/>
      <c r="D41" s="28" t="str">
        <f>"クラス"&amp;D$1</f>
        <v>クラス2</v>
      </c>
      <c r="E41" s="23"/>
      <c r="F41" s="24"/>
      <c r="G41" s="29" t="str">
        <f>"クラス"&amp;G$1</f>
        <v>クラス3</v>
      </c>
      <c r="H41" s="23"/>
      <c r="I41" s="23"/>
      <c r="J41" s="28" t="str">
        <f>"クラス"&amp;J$1</f>
        <v>クラス4</v>
      </c>
      <c r="K41" s="23"/>
      <c r="L41" s="24"/>
      <c r="M41" s="10"/>
      <c r="N41" s="23"/>
      <c r="O41" s="24"/>
      <c r="P41" s="28" t="str">
        <f>"クラス"&amp;P$1</f>
        <v>クラス30</v>
      </c>
      <c r="Q41" s="23"/>
      <c r="R41" s="24"/>
      <c r="S41" s="29" t="str">
        <f>"クラス"&amp;S$1</f>
        <v>クラス31</v>
      </c>
      <c r="T41" s="23"/>
      <c r="U41" s="23"/>
      <c r="V41" s="28" t="str">
        <f>"クラス"&amp;V$1</f>
        <v>クラス32</v>
      </c>
      <c r="W41" s="23"/>
      <c r="X41" s="24"/>
      <c r="Y41" s="10"/>
      <c r="Z41" s="23"/>
      <c r="AA41" s="24"/>
      <c r="AB41" s="28" t="str">
        <f>"クラス"&amp;AB$1</f>
        <v>クラス58</v>
      </c>
      <c r="AC41" s="23"/>
      <c r="AD41" s="24"/>
      <c r="AE41" s="29" t="str">
        <f>"クラス"&amp;AE$1</f>
        <v>クラス59</v>
      </c>
      <c r="AF41" s="23"/>
      <c r="AG41" s="23"/>
      <c r="AH41" s="28" t="str">
        <f>"クラス"&amp;AH$1</f>
        <v>クラス60</v>
      </c>
      <c r="AI41" s="23"/>
      <c r="AJ41" s="24"/>
      <c r="AK41" s="10"/>
      <c r="AL41" s="23"/>
      <c r="AM41" s="24"/>
      <c r="AN41" s="28" t="str">
        <f>"クラス"&amp;AN$1</f>
        <v>クラス86</v>
      </c>
      <c r="AO41" s="23"/>
      <c r="AP41" s="24"/>
      <c r="AQ41" s="29" t="str">
        <f>"クラス"&amp;AQ$1</f>
        <v>クラス87</v>
      </c>
      <c r="AR41" s="23"/>
      <c r="AS41" s="23"/>
      <c r="AT41" s="28" t="str">
        <f>"クラス"&amp;AT$1</f>
        <v>クラス88</v>
      </c>
      <c r="AU41" s="23"/>
      <c r="AV41" s="24"/>
      <c r="AW41" s="10"/>
      <c r="AX41" s="23"/>
      <c r="AY41" s="24"/>
      <c r="AZ41" s="28" t="str">
        <f>"クラス"&amp;AZ$1</f>
        <v>クラス114</v>
      </c>
      <c r="BA41" s="23"/>
      <c r="BB41" s="24"/>
      <c r="BC41" s="29" t="str">
        <f>"クラス"&amp;BC$1</f>
        <v>クラス115</v>
      </c>
      <c r="BD41" s="23"/>
      <c r="BE41" s="23"/>
      <c r="BF41" s="28" t="str">
        <f>"クラス"&amp;BF$1</f>
        <v>クラス116</v>
      </c>
      <c r="BG41" s="23"/>
      <c r="BH41" s="24"/>
      <c r="BI41" s="10"/>
      <c r="BJ41" s="23"/>
      <c r="BK41" s="24"/>
      <c r="BL41" s="28" t="str">
        <f>"クラス"&amp;BL$1</f>
        <v>クラス142</v>
      </c>
      <c r="BM41" s="23"/>
      <c r="BN41" s="24"/>
      <c r="BO41" s="29" t="str">
        <f>"クラス"&amp;BO$1</f>
        <v>クラス143</v>
      </c>
      <c r="BP41" s="23"/>
      <c r="BQ41" s="23"/>
      <c r="BR41" s="28" t="str">
        <f>"クラス"&amp;BR$1</f>
        <v>クラス144</v>
      </c>
      <c r="BS41" s="23"/>
      <c r="BT41" s="24"/>
      <c r="BU41" s="10"/>
      <c r="BV41" s="23"/>
      <c r="BW41" s="24"/>
      <c r="BX41" s="28" t="str">
        <f>"クラス"&amp;BX$1</f>
        <v>クラス170</v>
      </c>
      <c r="BY41" s="23"/>
      <c r="BZ41" s="24"/>
      <c r="CA41" s="29" t="str">
        <f>"クラス"&amp;CA$1</f>
        <v>クラス171</v>
      </c>
      <c r="CB41" s="23"/>
      <c r="CC41" s="23"/>
      <c r="CD41" s="28" t="str">
        <f>"クラス"&amp;CD$1</f>
        <v>クラス172</v>
      </c>
      <c r="CE41" s="23"/>
      <c r="CF41" s="24"/>
      <c r="CG41" s="10"/>
      <c r="CH41" s="23"/>
      <c r="CI41" s="24"/>
      <c r="CJ41" s="28" t="str">
        <f>"クラス"&amp;CJ$1</f>
        <v>クラス198</v>
      </c>
      <c r="CK41" s="23"/>
      <c r="CL41" s="24"/>
      <c r="CM41" s="29" t="str">
        <f>"クラス"&amp;CM$1</f>
        <v>クラス199</v>
      </c>
      <c r="CN41" s="23"/>
      <c r="CO41" s="23"/>
      <c r="CP41" s="28" t="str">
        <f>"クラス"&amp;CP$1</f>
        <v>クラス200</v>
      </c>
      <c r="CQ41" s="23"/>
      <c r="CR41" s="24"/>
      <c r="CS41" s="10"/>
      <c r="CT41" s="23"/>
      <c r="CU41" s="24"/>
      <c r="CV41" s="28" t="str">
        <f>"クラス"&amp;CV$1</f>
        <v>クラス226</v>
      </c>
      <c r="CW41" s="23"/>
      <c r="CX41" s="24"/>
      <c r="CY41" s="29" t="str">
        <f>"クラス"&amp;CY$1</f>
        <v>クラス227</v>
      </c>
      <c r="CZ41" s="23"/>
      <c r="DA41" s="23"/>
      <c r="DB41" s="28" t="str">
        <f>"クラス"&amp;DB$1</f>
        <v>クラス228</v>
      </c>
      <c r="DC41" s="23"/>
      <c r="DD41" s="24"/>
      <c r="DE41" s="10"/>
      <c r="DF41" s="23"/>
      <c r="DG41" s="24"/>
      <c r="DH41" s="28" t="str">
        <f>"クラス"&amp;DH$1</f>
        <v>クラス254</v>
      </c>
      <c r="DI41" s="23"/>
      <c r="DJ41" s="24"/>
      <c r="DK41" s="29" t="str">
        <f>"クラス"&amp;DK$1</f>
        <v>クラス255</v>
      </c>
      <c r="DL41" s="23"/>
      <c r="DM41" s="23"/>
      <c r="DN41" s="28" t="str">
        <f>"クラス"&amp;DN$1</f>
        <v>クラス256</v>
      </c>
      <c r="DO41" s="23"/>
      <c r="DP41" s="24"/>
      <c r="DQ41" s="10"/>
      <c r="DR41" s="23"/>
      <c r="DS41" s="24"/>
      <c r="DT41" s="28" t="str">
        <f>"クラス"&amp;DT$1</f>
        <v>クラス282</v>
      </c>
      <c r="DU41" s="23"/>
      <c r="DV41" s="24"/>
      <c r="DW41" s="29" t="str">
        <f>"クラス"&amp;DW$1</f>
        <v>クラス283</v>
      </c>
      <c r="DX41" s="23"/>
      <c r="DY41" s="23"/>
      <c r="DZ41" s="28" t="str">
        <f>"クラス"&amp;DZ$1</f>
        <v>クラス284</v>
      </c>
      <c r="EA41" s="23"/>
      <c r="EB41" s="24"/>
      <c r="EC41" s="10"/>
      <c r="ED41" s="23"/>
      <c r="EE41" s="24"/>
      <c r="EF41" s="28" t="str">
        <f>"クラス"&amp;EF$1</f>
        <v>クラス310</v>
      </c>
      <c r="EG41" s="23"/>
      <c r="EH41" s="24"/>
      <c r="EI41" s="29" t="str">
        <f>"クラス"&amp;EI$1</f>
        <v>クラス311</v>
      </c>
      <c r="EJ41" s="23"/>
      <c r="EK41" s="23"/>
      <c r="EL41" s="28" t="str">
        <f>"クラス"&amp;EL$1</f>
        <v>クラス312</v>
      </c>
      <c r="EM41" s="23"/>
      <c r="EN41" s="24"/>
      <c r="EO41" s="10"/>
      <c r="EP41" s="23"/>
      <c r="EQ41" s="24"/>
      <c r="ER41" s="28" t="str">
        <f>"クラス"&amp;ER$1</f>
        <v>クラス338</v>
      </c>
      <c r="ES41" s="23"/>
      <c r="ET41" s="24"/>
      <c r="EU41" s="29" t="str">
        <f>"クラス"&amp;EU$1</f>
        <v>クラス339</v>
      </c>
      <c r="EV41" s="23"/>
      <c r="EW41" s="23"/>
      <c r="EX41" s="28" t="str">
        <f>"クラス"&amp;EX$1</f>
        <v>クラス340</v>
      </c>
      <c r="EY41" s="23"/>
      <c r="EZ41" s="24"/>
      <c r="FA41" s="10"/>
      <c r="FB41" s="23"/>
      <c r="FC41" s="24"/>
      <c r="FD41" s="28" t="str">
        <f>"クラス"&amp;FD$1</f>
        <v>クラス366</v>
      </c>
      <c r="FE41" s="23"/>
      <c r="FF41" s="24"/>
      <c r="FG41" s="29" t="str">
        <f>"クラス"&amp;FG$1</f>
        <v>クラス367</v>
      </c>
      <c r="FH41" s="23"/>
      <c r="FI41" s="23"/>
      <c r="FJ41" s="28" t="str">
        <f>"クラス"&amp;FJ$1</f>
        <v>クラス368</v>
      </c>
      <c r="FK41" s="23"/>
      <c r="FL41" s="24"/>
      <c r="FM41" s="10"/>
      <c r="FN41" s="23"/>
      <c r="FO41" s="24"/>
      <c r="FP41" s="28" t="str">
        <f>"クラス"&amp;FP$1</f>
        <v>クラス394</v>
      </c>
      <c r="FQ41" s="23"/>
      <c r="FR41" s="24"/>
      <c r="FS41" s="29" t="str">
        <f>"クラス"&amp;FS$1</f>
        <v>クラス395</v>
      </c>
      <c r="FT41" s="23"/>
      <c r="FU41" s="23"/>
      <c r="FV41" s="28" t="str">
        <f>"クラス"&amp;FV$1</f>
        <v>クラス396</v>
      </c>
      <c r="FW41" s="23"/>
      <c r="FX41" s="24"/>
      <c r="FY41" s="10"/>
      <c r="FZ41" s="23"/>
      <c r="GA41" s="24"/>
      <c r="GB41" s="28" t="str">
        <f>"クラス"&amp;GB$1</f>
        <v>クラス422</v>
      </c>
      <c r="GC41" s="23"/>
      <c r="GD41" s="24"/>
      <c r="GE41" s="29" t="str">
        <f>"クラス"&amp;GE$1</f>
        <v>クラス423</v>
      </c>
      <c r="GF41" s="23"/>
      <c r="GG41" s="23"/>
      <c r="GH41" s="28" t="str">
        <f>"クラス"&amp;GH$1</f>
        <v>クラス424</v>
      </c>
      <c r="GI41" s="23"/>
      <c r="GJ41" s="24"/>
      <c r="GK41" s="10"/>
      <c r="GL41" s="23"/>
      <c r="GM41" s="24"/>
      <c r="GN41" s="28" t="str">
        <f>"クラス"&amp;GN$1</f>
        <v>クラス450</v>
      </c>
      <c r="GO41" s="23"/>
      <c r="GP41" s="24"/>
      <c r="GQ41" s="29" t="str">
        <f>"クラス"&amp;GQ$1</f>
        <v>クラス451</v>
      </c>
      <c r="GR41" s="23"/>
      <c r="GS41" s="23"/>
      <c r="GT41" s="28" t="str">
        <f>"クラス"&amp;GT$1</f>
        <v>クラス452</v>
      </c>
      <c r="GU41" s="23"/>
      <c r="GV41" s="24"/>
      <c r="GW41" s="10"/>
      <c r="GX41" s="23"/>
      <c r="GY41" s="24"/>
      <c r="GZ41" s="28" t="str">
        <f>"クラス"&amp;GZ$1</f>
        <v>クラス478</v>
      </c>
      <c r="HA41" s="23"/>
      <c r="HB41" s="24"/>
      <c r="HC41" s="29" t="str">
        <f>"クラス"&amp;HC$1</f>
        <v>クラス479</v>
      </c>
      <c r="HD41" s="23"/>
      <c r="HE41" s="23"/>
      <c r="HF41" s="28" t="str">
        <f>"クラス"&amp;HF$1</f>
        <v>クラス480</v>
      </c>
      <c r="HG41" s="23"/>
      <c r="HH41" s="24"/>
      <c r="HI41" s="10"/>
      <c r="HJ41" s="23"/>
      <c r="HK41" s="24"/>
      <c r="HL41" s="28" t="str">
        <f>"クラス"&amp;HL$1</f>
        <v>クラス506</v>
      </c>
      <c r="HM41" s="23"/>
      <c r="HN41" s="24"/>
      <c r="HO41" s="29" t="str">
        <f>"クラス"&amp;HO$1</f>
        <v>クラス507</v>
      </c>
      <c r="HP41" s="23"/>
      <c r="HQ41" s="23"/>
      <c r="HR41" s="28" t="str">
        <f>"クラス"&amp;HR$1</f>
        <v>クラス508</v>
      </c>
      <c r="HS41" s="23"/>
      <c r="HT41" s="24"/>
      <c r="HU41" s="3"/>
      <c r="HV41" s="3"/>
    </row>
    <row r="42" spans="1:230" ht="17.100000000000001" customHeight="1" x14ac:dyDescent="0.45">
      <c r="A42" s="16" t="str">
        <f>"クラス"&amp;A$1</f>
        <v>クラス1</v>
      </c>
      <c r="B42" s="17">
        <f ca="1">OFFSET(Gemini抽出データ!$A$1,A36,4)</f>
        <v>0</v>
      </c>
      <c r="C42" s="18" t="str">
        <f ca="1">IF(OFFSET(Gemini抽出データ!$A$1,A36,5)=0,"",OFFSET(Gemini抽出データ!$A$1,A36,5))</f>
        <v/>
      </c>
      <c r="D42" s="16" t="str">
        <f>A42</f>
        <v>クラス1</v>
      </c>
      <c r="E42" s="17">
        <f ca="1">OFFSET(Gemini抽出データ!$A$1,D36,4)</f>
        <v>0</v>
      </c>
      <c r="F42" s="18" t="str">
        <f ca="1">IF(OFFSET(Gemini抽出データ!$A$1,D36,5)=0,"",OFFSET(Gemini抽出データ!$A$1,D36,5))</f>
        <v/>
      </c>
      <c r="G42" s="19" t="str">
        <f>A42</f>
        <v>クラス1</v>
      </c>
      <c r="H42" s="17">
        <f ca="1">OFFSET(Gemini抽出データ!$A$1,G36,4)</f>
        <v>0</v>
      </c>
      <c r="I42" s="17" t="str">
        <f ca="1">IF(OFFSET(Gemini抽出データ!$A$1,G36,5)=0,"",OFFSET(Gemini抽出データ!$A$1,G36,5))</f>
        <v/>
      </c>
      <c r="J42" s="16" t="str">
        <f>G42</f>
        <v>クラス1</v>
      </c>
      <c r="K42" s="17">
        <f ca="1">OFFSET(Gemini抽出データ!$A$1,J36,4)</f>
        <v>0</v>
      </c>
      <c r="L42" s="18" t="str">
        <f ca="1">IF(OFFSET(Gemini抽出データ!$A$1,J36,5)=0,"",OFFSET(Gemini抽出データ!$A$1,J36,5))</f>
        <v/>
      </c>
      <c r="M42" s="16" t="str">
        <f>"クラス"&amp;M$1</f>
        <v>クラス29</v>
      </c>
      <c r="N42" s="17">
        <f ca="1">OFFSET(Gemini抽出データ!$A$1,M36,4)</f>
        <v>0</v>
      </c>
      <c r="O42" s="18" t="str">
        <f ca="1">IF(OFFSET(Gemini抽出データ!$A$1,M36,5)=0,"",OFFSET(Gemini抽出データ!$A$1,M36,5))</f>
        <v/>
      </c>
      <c r="P42" s="16" t="str">
        <f>M42</f>
        <v>クラス29</v>
      </c>
      <c r="Q42" s="17">
        <f ca="1">OFFSET(Gemini抽出データ!$A$1,P36,4)</f>
        <v>0</v>
      </c>
      <c r="R42" s="18" t="str">
        <f ca="1">IF(OFFSET(Gemini抽出データ!$A$1,P36,5)=0,"",OFFSET(Gemini抽出データ!$A$1,P36,5))</f>
        <v/>
      </c>
      <c r="S42" s="19" t="str">
        <f>M42</f>
        <v>クラス29</v>
      </c>
      <c r="T42" s="17">
        <f ca="1">OFFSET(Gemini抽出データ!$A$1,S36,4)</f>
        <v>0</v>
      </c>
      <c r="U42" s="17" t="str">
        <f ca="1">IF(OFFSET(Gemini抽出データ!$A$1,S36,5)=0,"",OFFSET(Gemini抽出データ!$A$1,S36,5))</f>
        <v/>
      </c>
      <c r="V42" s="16" t="str">
        <f>S42</f>
        <v>クラス29</v>
      </c>
      <c r="W42" s="17">
        <f ca="1">OFFSET(Gemini抽出データ!$A$1,V36,4)</f>
        <v>0</v>
      </c>
      <c r="X42" s="18" t="str">
        <f ca="1">IF(OFFSET(Gemini抽出データ!$A$1,V36,5)=0,"",OFFSET(Gemini抽出データ!$A$1,V36,5))</f>
        <v/>
      </c>
      <c r="Y42" s="16" t="str">
        <f>"クラス"&amp;Y$1</f>
        <v>クラス57</v>
      </c>
      <c r="Z42" s="17">
        <f ca="1">OFFSET(Gemini抽出データ!$A$1,Y36,4)</f>
        <v>0</v>
      </c>
      <c r="AA42" s="18" t="str">
        <f ca="1">IF(OFFSET(Gemini抽出データ!$A$1,Y36,5)=0,"",OFFSET(Gemini抽出データ!$A$1,Y36,5))</f>
        <v/>
      </c>
      <c r="AB42" s="16" t="str">
        <f>Y42</f>
        <v>クラス57</v>
      </c>
      <c r="AC42" s="17">
        <f ca="1">OFFSET(Gemini抽出データ!$A$1,AB36,4)</f>
        <v>0</v>
      </c>
      <c r="AD42" s="18" t="str">
        <f ca="1">IF(OFFSET(Gemini抽出データ!$A$1,AB36,5)=0,"",OFFSET(Gemini抽出データ!$A$1,AB36,5))</f>
        <v/>
      </c>
      <c r="AE42" s="19" t="str">
        <f>Y42</f>
        <v>クラス57</v>
      </c>
      <c r="AF42" s="17">
        <f ca="1">OFFSET(Gemini抽出データ!$A$1,AE36,4)</f>
        <v>0</v>
      </c>
      <c r="AG42" s="17" t="str">
        <f ca="1">IF(OFFSET(Gemini抽出データ!$A$1,AE36,5)=0,"",OFFSET(Gemini抽出データ!$A$1,AE36,5))</f>
        <v/>
      </c>
      <c r="AH42" s="16" t="str">
        <f>AE42</f>
        <v>クラス57</v>
      </c>
      <c r="AI42" s="17">
        <f ca="1">OFFSET(Gemini抽出データ!$A$1,AH36,4)</f>
        <v>0</v>
      </c>
      <c r="AJ42" s="18" t="str">
        <f ca="1">IF(OFFSET(Gemini抽出データ!$A$1,AH36,5)=0,"",OFFSET(Gemini抽出データ!$A$1,AH36,5))</f>
        <v/>
      </c>
      <c r="AK42" s="16" t="str">
        <f>"クラス"&amp;AK$1</f>
        <v>クラス85</v>
      </c>
      <c r="AL42" s="17">
        <f ca="1">OFFSET(Gemini抽出データ!$A$1,AK36,4)</f>
        <v>0</v>
      </c>
      <c r="AM42" s="18" t="str">
        <f ca="1">IF(OFFSET(Gemini抽出データ!$A$1,AK36,5)=0,"",OFFSET(Gemini抽出データ!$A$1,AK36,5))</f>
        <v/>
      </c>
      <c r="AN42" s="16" t="str">
        <f>AK42</f>
        <v>クラス85</v>
      </c>
      <c r="AO42" s="17">
        <f ca="1">OFFSET(Gemini抽出データ!$A$1,AN36,4)</f>
        <v>0</v>
      </c>
      <c r="AP42" s="18" t="str">
        <f ca="1">IF(OFFSET(Gemini抽出データ!$A$1,AN36,5)=0,"",OFFSET(Gemini抽出データ!$A$1,AN36,5))</f>
        <v/>
      </c>
      <c r="AQ42" s="19" t="str">
        <f>AK42</f>
        <v>クラス85</v>
      </c>
      <c r="AR42" s="17">
        <f ca="1">OFFSET(Gemini抽出データ!$A$1,AQ36,4)</f>
        <v>0</v>
      </c>
      <c r="AS42" s="17" t="str">
        <f ca="1">IF(OFFSET(Gemini抽出データ!$A$1,AQ36,5)=0,"",OFFSET(Gemini抽出データ!$A$1,AQ36,5))</f>
        <v/>
      </c>
      <c r="AT42" s="16" t="str">
        <f>AQ42</f>
        <v>クラス85</v>
      </c>
      <c r="AU42" s="17">
        <f ca="1">OFFSET(Gemini抽出データ!$A$1,AT36,4)</f>
        <v>0</v>
      </c>
      <c r="AV42" s="18" t="str">
        <f ca="1">IF(OFFSET(Gemini抽出データ!$A$1,AT36,5)=0,"",OFFSET(Gemini抽出データ!$A$1,AT36,5))</f>
        <v/>
      </c>
      <c r="AW42" s="16" t="str">
        <f>"クラス"&amp;AW$1</f>
        <v>クラス113</v>
      </c>
      <c r="AX42" s="17">
        <f ca="1">OFFSET(Gemini抽出データ!$A$1,AW36,4)</f>
        <v>0</v>
      </c>
      <c r="AY42" s="18" t="str">
        <f ca="1">IF(OFFSET(Gemini抽出データ!$A$1,AW36,5)=0,"",OFFSET(Gemini抽出データ!$A$1,AW36,5))</f>
        <v/>
      </c>
      <c r="AZ42" s="16" t="str">
        <f>AW42</f>
        <v>クラス113</v>
      </c>
      <c r="BA42" s="17">
        <f ca="1">OFFSET(Gemini抽出データ!$A$1,AZ36,4)</f>
        <v>0</v>
      </c>
      <c r="BB42" s="18" t="str">
        <f ca="1">IF(OFFSET(Gemini抽出データ!$A$1,AZ36,5)=0,"",OFFSET(Gemini抽出データ!$A$1,AZ36,5))</f>
        <v/>
      </c>
      <c r="BC42" s="19" t="str">
        <f>AW42</f>
        <v>クラス113</v>
      </c>
      <c r="BD42" s="17">
        <f ca="1">OFFSET(Gemini抽出データ!$A$1,BC36,4)</f>
        <v>0</v>
      </c>
      <c r="BE42" s="17" t="str">
        <f ca="1">IF(OFFSET(Gemini抽出データ!$A$1,BC36,5)=0,"",OFFSET(Gemini抽出データ!$A$1,BC36,5))</f>
        <v/>
      </c>
      <c r="BF42" s="16" t="str">
        <f>BC42</f>
        <v>クラス113</v>
      </c>
      <c r="BG42" s="17">
        <f ca="1">OFFSET(Gemini抽出データ!$A$1,BF36,4)</f>
        <v>0</v>
      </c>
      <c r="BH42" s="18" t="str">
        <f ca="1">IF(OFFSET(Gemini抽出データ!$A$1,BF36,5)=0,"",OFFSET(Gemini抽出データ!$A$1,BF36,5))</f>
        <v/>
      </c>
      <c r="BI42" s="16" t="str">
        <f>"クラス"&amp;BI$1</f>
        <v>クラス141</v>
      </c>
      <c r="BJ42" s="17">
        <f ca="1">OFFSET(Gemini抽出データ!$A$1,BI36,4)</f>
        <v>0</v>
      </c>
      <c r="BK42" s="18" t="str">
        <f ca="1">IF(OFFSET(Gemini抽出データ!$A$1,BI36,5)=0,"",OFFSET(Gemini抽出データ!$A$1,BI36,5))</f>
        <v/>
      </c>
      <c r="BL42" s="16" t="str">
        <f>BI42</f>
        <v>クラス141</v>
      </c>
      <c r="BM42" s="17">
        <f ca="1">OFFSET(Gemini抽出データ!$A$1,BL36,4)</f>
        <v>0</v>
      </c>
      <c r="BN42" s="18" t="str">
        <f ca="1">IF(OFFSET(Gemini抽出データ!$A$1,BL36,5)=0,"",OFFSET(Gemini抽出データ!$A$1,BL36,5))</f>
        <v/>
      </c>
      <c r="BO42" s="19" t="str">
        <f>BI42</f>
        <v>クラス141</v>
      </c>
      <c r="BP42" s="17">
        <f ca="1">OFFSET(Gemini抽出データ!$A$1,BO36,4)</f>
        <v>0</v>
      </c>
      <c r="BQ42" s="17" t="str">
        <f ca="1">IF(OFFSET(Gemini抽出データ!$A$1,BO36,5)=0,"",OFFSET(Gemini抽出データ!$A$1,BO36,5))</f>
        <v/>
      </c>
      <c r="BR42" s="16" t="str">
        <f>BO42</f>
        <v>クラス141</v>
      </c>
      <c r="BS42" s="17">
        <f ca="1">OFFSET(Gemini抽出データ!$A$1,BR36,4)</f>
        <v>0</v>
      </c>
      <c r="BT42" s="18" t="str">
        <f ca="1">IF(OFFSET(Gemini抽出データ!$A$1,BR36,5)=0,"",OFFSET(Gemini抽出データ!$A$1,BR36,5))</f>
        <v/>
      </c>
      <c r="BU42" s="16" t="str">
        <f>"クラス"&amp;BU$1</f>
        <v>クラス169</v>
      </c>
      <c r="BV42" s="17">
        <f ca="1">OFFSET(Gemini抽出データ!$A$1,BU36,4)</f>
        <v>0</v>
      </c>
      <c r="BW42" s="18" t="str">
        <f ca="1">IF(OFFSET(Gemini抽出データ!$A$1,BU36,5)=0,"",OFFSET(Gemini抽出データ!$A$1,BU36,5))</f>
        <v/>
      </c>
      <c r="BX42" s="16" t="str">
        <f>BU42</f>
        <v>クラス169</v>
      </c>
      <c r="BY42" s="17">
        <f ca="1">OFFSET(Gemini抽出データ!$A$1,BX36,4)</f>
        <v>0</v>
      </c>
      <c r="BZ42" s="18" t="str">
        <f ca="1">IF(OFFSET(Gemini抽出データ!$A$1,BX36,5)=0,"",OFFSET(Gemini抽出データ!$A$1,BX36,5))</f>
        <v/>
      </c>
      <c r="CA42" s="19" t="str">
        <f>BU42</f>
        <v>クラス169</v>
      </c>
      <c r="CB42" s="17">
        <f ca="1">OFFSET(Gemini抽出データ!$A$1,CA36,4)</f>
        <v>0</v>
      </c>
      <c r="CC42" s="17" t="str">
        <f ca="1">IF(OFFSET(Gemini抽出データ!$A$1,CA36,5)=0,"",OFFSET(Gemini抽出データ!$A$1,CA36,5))</f>
        <v/>
      </c>
      <c r="CD42" s="16" t="str">
        <f>CA42</f>
        <v>クラス169</v>
      </c>
      <c r="CE42" s="17">
        <f ca="1">OFFSET(Gemini抽出データ!$A$1,CD36,4)</f>
        <v>0</v>
      </c>
      <c r="CF42" s="18" t="str">
        <f ca="1">IF(OFFSET(Gemini抽出データ!$A$1,CD36,5)=0,"",OFFSET(Gemini抽出データ!$A$1,CD36,5))</f>
        <v/>
      </c>
      <c r="CG42" s="16" t="str">
        <f>"クラス"&amp;CG$1</f>
        <v>クラス197</v>
      </c>
      <c r="CH42" s="17">
        <f ca="1">OFFSET(Gemini抽出データ!$A$1,CG36,4)</f>
        <v>0</v>
      </c>
      <c r="CI42" s="18" t="str">
        <f ca="1">IF(OFFSET(Gemini抽出データ!$A$1,CG36,5)=0,"",OFFSET(Gemini抽出データ!$A$1,CG36,5))</f>
        <v/>
      </c>
      <c r="CJ42" s="16" t="str">
        <f>CG42</f>
        <v>クラス197</v>
      </c>
      <c r="CK42" s="17">
        <f ca="1">OFFSET(Gemini抽出データ!$A$1,CJ36,4)</f>
        <v>0</v>
      </c>
      <c r="CL42" s="18" t="str">
        <f ca="1">IF(OFFSET(Gemini抽出データ!$A$1,CJ36,5)=0,"",OFFSET(Gemini抽出データ!$A$1,CJ36,5))</f>
        <v/>
      </c>
      <c r="CM42" s="19" t="str">
        <f>CG42</f>
        <v>クラス197</v>
      </c>
      <c r="CN42" s="17">
        <f ca="1">OFFSET(Gemini抽出データ!$A$1,CM36,4)</f>
        <v>0</v>
      </c>
      <c r="CO42" s="17" t="str">
        <f ca="1">IF(OFFSET(Gemini抽出データ!$A$1,CM36,5)=0,"",OFFSET(Gemini抽出データ!$A$1,CM36,5))</f>
        <v/>
      </c>
      <c r="CP42" s="16" t="str">
        <f>CM42</f>
        <v>クラス197</v>
      </c>
      <c r="CQ42" s="17">
        <f ca="1">OFFSET(Gemini抽出データ!$A$1,CP36,4)</f>
        <v>0</v>
      </c>
      <c r="CR42" s="18" t="str">
        <f ca="1">IF(OFFSET(Gemini抽出データ!$A$1,CP36,5)=0,"",OFFSET(Gemini抽出データ!$A$1,CP36,5))</f>
        <v/>
      </c>
      <c r="CS42" s="16" t="str">
        <f>"クラス"&amp;CS$1</f>
        <v>クラス225</v>
      </c>
      <c r="CT42" s="17">
        <f ca="1">OFFSET(Gemini抽出データ!$A$1,CS36,4)</f>
        <v>0</v>
      </c>
      <c r="CU42" s="18" t="str">
        <f ca="1">IF(OFFSET(Gemini抽出データ!$A$1,CS36,5)=0,"",OFFSET(Gemini抽出データ!$A$1,CS36,5))</f>
        <v/>
      </c>
      <c r="CV42" s="16" t="str">
        <f>CS42</f>
        <v>クラス225</v>
      </c>
      <c r="CW42" s="17">
        <f ca="1">OFFSET(Gemini抽出データ!$A$1,CV36,4)</f>
        <v>0</v>
      </c>
      <c r="CX42" s="18" t="str">
        <f ca="1">IF(OFFSET(Gemini抽出データ!$A$1,CV36,5)=0,"",OFFSET(Gemini抽出データ!$A$1,CV36,5))</f>
        <v/>
      </c>
      <c r="CY42" s="19" t="str">
        <f>CS42</f>
        <v>クラス225</v>
      </c>
      <c r="CZ42" s="17">
        <f ca="1">OFFSET(Gemini抽出データ!$A$1,CY36,4)</f>
        <v>0</v>
      </c>
      <c r="DA42" s="17" t="str">
        <f ca="1">IF(OFFSET(Gemini抽出データ!$A$1,CY36,5)=0,"",OFFSET(Gemini抽出データ!$A$1,CY36,5))</f>
        <v/>
      </c>
      <c r="DB42" s="16" t="str">
        <f>CY42</f>
        <v>クラス225</v>
      </c>
      <c r="DC42" s="17">
        <f ca="1">OFFSET(Gemini抽出データ!$A$1,DB36,4)</f>
        <v>0</v>
      </c>
      <c r="DD42" s="18" t="str">
        <f ca="1">IF(OFFSET(Gemini抽出データ!$A$1,DB36,5)=0,"",OFFSET(Gemini抽出データ!$A$1,DB36,5))</f>
        <v/>
      </c>
      <c r="DE42" s="16" t="str">
        <f>"クラス"&amp;DE$1</f>
        <v>クラス253</v>
      </c>
      <c r="DF42" s="17">
        <f ca="1">OFFSET(Gemini抽出データ!$A$1,DE36,4)</f>
        <v>0</v>
      </c>
      <c r="DG42" s="18" t="str">
        <f ca="1">IF(OFFSET(Gemini抽出データ!$A$1,DE36,5)=0,"",OFFSET(Gemini抽出データ!$A$1,DE36,5))</f>
        <v/>
      </c>
      <c r="DH42" s="16" t="str">
        <f>DE42</f>
        <v>クラス253</v>
      </c>
      <c r="DI42" s="17">
        <f ca="1">OFFSET(Gemini抽出データ!$A$1,DH36,4)</f>
        <v>0</v>
      </c>
      <c r="DJ42" s="18" t="str">
        <f ca="1">IF(OFFSET(Gemini抽出データ!$A$1,DH36,5)=0,"",OFFSET(Gemini抽出データ!$A$1,DH36,5))</f>
        <v/>
      </c>
      <c r="DK42" s="19" t="str">
        <f>DE42</f>
        <v>クラス253</v>
      </c>
      <c r="DL42" s="17">
        <f ca="1">OFFSET(Gemini抽出データ!$A$1,DK36,4)</f>
        <v>0</v>
      </c>
      <c r="DM42" s="17" t="str">
        <f ca="1">IF(OFFSET(Gemini抽出データ!$A$1,DK36,5)=0,"",OFFSET(Gemini抽出データ!$A$1,DK36,5))</f>
        <v/>
      </c>
      <c r="DN42" s="16" t="str">
        <f>DK42</f>
        <v>クラス253</v>
      </c>
      <c r="DO42" s="17">
        <f ca="1">OFFSET(Gemini抽出データ!$A$1,DN36,4)</f>
        <v>0</v>
      </c>
      <c r="DP42" s="18" t="str">
        <f ca="1">IF(OFFSET(Gemini抽出データ!$A$1,DN36,5)=0,"",OFFSET(Gemini抽出データ!$A$1,DN36,5))</f>
        <v/>
      </c>
      <c r="DQ42" s="16" t="str">
        <f>"クラス"&amp;DQ$1</f>
        <v>クラス281</v>
      </c>
      <c r="DR42" s="17">
        <f ca="1">OFFSET(Gemini抽出データ!$A$1,DQ36,4)</f>
        <v>0</v>
      </c>
      <c r="DS42" s="18" t="str">
        <f ca="1">IF(OFFSET(Gemini抽出データ!$A$1,DQ36,5)=0,"",OFFSET(Gemini抽出データ!$A$1,DQ36,5))</f>
        <v/>
      </c>
      <c r="DT42" s="16" t="str">
        <f>DQ42</f>
        <v>クラス281</v>
      </c>
      <c r="DU42" s="17">
        <f ca="1">OFFSET(Gemini抽出データ!$A$1,DT36,4)</f>
        <v>0</v>
      </c>
      <c r="DV42" s="18" t="str">
        <f ca="1">IF(OFFSET(Gemini抽出データ!$A$1,DT36,5)=0,"",OFFSET(Gemini抽出データ!$A$1,DT36,5))</f>
        <v/>
      </c>
      <c r="DW42" s="19" t="str">
        <f>DQ42</f>
        <v>クラス281</v>
      </c>
      <c r="DX42" s="17">
        <f ca="1">OFFSET(Gemini抽出データ!$A$1,DW36,4)</f>
        <v>0</v>
      </c>
      <c r="DY42" s="17" t="str">
        <f ca="1">IF(OFFSET(Gemini抽出データ!$A$1,DW36,5)=0,"",OFFSET(Gemini抽出データ!$A$1,DW36,5))</f>
        <v/>
      </c>
      <c r="DZ42" s="16" t="str">
        <f>DW42</f>
        <v>クラス281</v>
      </c>
      <c r="EA42" s="17">
        <f ca="1">OFFSET(Gemini抽出データ!$A$1,DZ36,4)</f>
        <v>0</v>
      </c>
      <c r="EB42" s="18" t="str">
        <f ca="1">IF(OFFSET(Gemini抽出データ!$A$1,DZ36,5)=0,"",OFFSET(Gemini抽出データ!$A$1,DZ36,5))</f>
        <v/>
      </c>
      <c r="EC42" s="16" t="str">
        <f>"クラス"&amp;EC$1</f>
        <v>クラス309</v>
      </c>
      <c r="ED42" s="17">
        <f ca="1">OFFSET(Gemini抽出データ!$A$1,EC36,4)</f>
        <v>0</v>
      </c>
      <c r="EE42" s="18" t="str">
        <f ca="1">IF(OFFSET(Gemini抽出データ!$A$1,EC36,5)=0,"",OFFSET(Gemini抽出データ!$A$1,EC36,5))</f>
        <v/>
      </c>
      <c r="EF42" s="16" t="str">
        <f>EC42</f>
        <v>クラス309</v>
      </c>
      <c r="EG42" s="17">
        <f ca="1">OFFSET(Gemini抽出データ!$A$1,EF36,4)</f>
        <v>0</v>
      </c>
      <c r="EH42" s="18" t="str">
        <f ca="1">IF(OFFSET(Gemini抽出データ!$A$1,EF36,5)=0,"",OFFSET(Gemini抽出データ!$A$1,EF36,5))</f>
        <v/>
      </c>
      <c r="EI42" s="19" t="str">
        <f>EC42</f>
        <v>クラス309</v>
      </c>
      <c r="EJ42" s="17">
        <f ca="1">OFFSET(Gemini抽出データ!$A$1,EI36,4)</f>
        <v>0</v>
      </c>
      <c r="EK42" s="17" t="str">
        <f ca="1">IF(OFFSET(Gemini抽出データ!$A$1,EI36,5)=0,"",OFFSET(Gemini抽出データ!$A$1,EI36,5))</f>
        <v/>
      </c>
      <c r="EL42" s="16" t="str">
        <f>EI42</f>
        <v>クラス309</v>
      </c>
      <c r="EM42" s="17">
        <f ca="1">OFFSET(Gemini抽出データ!$A$1,EL36,4)</f>
        <v>0</v>
      </c>
      <c r="EN42" s="18" t="str">
        <f ca="1">IF(OFFSET(Gemini抽出データ!$A$1,EL36,5)=0,"",OFFSET(Gemini抽出データ!$A$1,EL36,5))</f>
        <v/>
      </c>
      <c r="EO42" s="16" t="str">
        <f>"クラス"&amp;EO$1</f>
        <v>クラス337</v>
      </c>
      <c r="EP42" s="17">
        <f ca="1">OFFSET(Gemini抽出データ!$A$1,EO36,4)</f>
        <v>0</v>
      </c>
      <c r="EQ42" s="18" t="str">
        <f ca="1">IF(OFFSET(Gemini抽出データ!$A$1,EO36,5)=0,"",OFFSET(Gemini抽出データ!$A$1,EO36,5))</f>
        <v/>
      </c>
      <c r="ER42" s="16" t="str">
        <f>EO42</f>
        <v>クラス337</v>
      </c>
      <c r="ES42" s="17">
        <f ca="1">OFFSET(Gemini抽出データ!$A$1,ER36,4)</f>
        <v>0</v>
      </c>
      <c r="ET42" s="18" t="str">
        <f ca="1">IF(OFFSET(Gemini抽出データ!$A$1,ER36,5)=0,"",OFFSET(Gemini抽出データ!$A$1,ER36,5))</f>
        <v/>
      </c>
      <c r="EU42" s="19" t="str">
        <f>EO42</f>
        <v>クラス337</v>
      </c>
      <c r="EV42" s="17">
        <f ca="1">OFFSET(Gemini抽出データ!$A$1,EU36,4)</f>
        <v>0</v>
      </c>
      <c r="EW42" s="17" t="str">
        <f ca="1">IF(OFFSET(Gemini抽出データ!$A$1,EU36,5)=0,"",OFFSET(Gemini抽出データ!$A$1,EU36,5))</f>
        <v/>
      </c>
      <c r="EX42" s="16" t="str">
        <f>EU42</f>
        <v>クラス337</v>
      </c>
      <c r="EY42" s="17">
        <f ca="1">OFFSET(Gemini抽出データ!$A$1,EX36,4)</f>
        <v>0</v>
      </c>
      <c r="EZ42" s="18" t="str">
        <f ca="1">IF(OFFSET(Gemini抽出データ!$A$1,EX36,5)=0,"",OFFSET(Gemini抽出データ!$A$1,EX36,5))</f>
        <v/>
      </c>
      <c r="FA42" s="16" t="str">
        <f>"クラス"&amp;FA$1</f>
        <v>クラス365</v>
      </c>
      <c r="FB42" s="17">
        <f ca="1">OFFSET(Gemini抽出データ!$A$1,FA36,4)</f>
        <v>0</v>
      </c>
      <c r="FC42" s="18" t="str">
        <f ca="1">IF(OFFSET(Gemini抽出データ!$A$1,FA36,5)=0,"",OFFSET(Gemini抽出データ!$A$1,FA36,5))</f>
        <v/>
      </c>
      <c r="FD42" s="16" t="str">
        <f>FA42</f>
        <v>クラス365</v>
      </c>
      <c r="FE42" s="17">
        <f ca="1">OFFSET(Gemini抽出データ!$A$1,FD36,4)</f>
        <v>0</v>
      </c>
      <c r="FF42" s="18" t="str">
        <f ca="1">IF(OFFSET(Gemini抽出データ!$A$1,FD36,5)=0,"",OFFSET(Gemini抽出データ!$A$1,FD36,5))</f>
        <v/>
      </c>
      <c r="FG42" s="19" t="str">
        <f>FA42</f>
        <v>クラス365</v>
      </c>
      <c r="FH42" s="17">
        <f ca="1">OFFSET(Gemini抽出データ!$A$1,FG36,4)</f>
        <v>0</v>
      </c>
      <c r="FI42" s="17" t="str">
        <f ca="1">IF(OFFSET(Gemini抽出データ!$A$1,FG36,5)=0,"",OFFSET(Gemini抽出データ!$A$1,FG36,5))</f>
        <v/>
      </c>
      <c r="FJ42" s="16" t="str">
        <f>FG42</f>
        <v>クラス365</v>
      </c>
      <c r="FK42" s="17">
        <f ca="1">OFFSET(Gemini抽出データ!$A$1,FJ36,4)</f>
        <v>0</v>
      </c>
      <c r="FL42" s="18" t="str">
        <f ca="1">IF(OFFSET(Gemini抽出データ!$A$1,FJ36,5)=0,"",OFFSET(Gemini抽出データ!$A$1,FJ36,5))</f>
        <v/>
      </c>
      <c r="FM42" s="16" t="str">
        <f>"クラス"&amp;FM$1</f>
        <v>クラス393</v>
      </c>
      <c r="FN42" s="17">
        <f ca="1">OFFSET(Gemini抽出データ!$A$1,FM36,4)</f>
        <v>0</v>
      </c>
      <c r="FO42" s="18" t="str">
        <f ca="1">IF(OFFSET(Gemini抽出データ!$A$1,FM36,5)=0,"",OFFSET(Gemini抽出データ!$A$1,FM36,5))</f>
        <v/>
      </c>
      <c r="FP42" s="16" t="str">
        <f>FM42</f>
        <v>クラス393</v>
      </c>
      <c r="FQ42" s="17">
        <f ca="1">OFFSET(Gemini抽出データ!$A$1,FP36,4)</f>
        <v>0</v>
      </c>
      <c r="FR42" s="18" t="str">
        <f ca="1">IF(OFFSET(Gemini抽出データ!$A$1,FP36,5)=0,"",OFFSET(Gemini抽出データ!$A$1,FP36,5))</f>
        <v/>
      </c>
      <c r="FS42" s="19" t="str">
        <f>FM42</f>
        <v>クラス393</v>
      </c>
      <c r="FT42" s="17">
        <f ca="1">OFFSET(Gemini抽出データ!$A$1,FS36,4)</f>
        <v>0</v>
      </c>
      <c r="FU42" s="17" t="str">
        <f ca="1">IF(OFFSET(Gemini抽出データ!$A$1,FS36,5)=0,"",OFFSET(Gemini抽出データ!$A$1,FS36,5))</f>
        <v/>
      </c>
      <c r="FV42" s="16" t="str">
        <f>FS42</f>
        <v>クラス393</v>
      </c>
      <c r="FW42" s="17">
        <f ca="1">OFFSET(Gemini抽出データ!$A$1,FV36,4)</f>
        <v>0</v>
      </c>
      <c r="FX42" s="18" t="str">
        <f ca="1">IF(OFFSET(Gemini抽出データ!$A$1,FV36,5)=0,"",OFFSET(Gemini抽出データ!$A$1,FV36,5))</f>
        <v/>
      </c>
      <c r="FY42" s="16" t="str">
        <f>"クラス"&amp;FY$1</f>
        <v>クラス421</v>
      </c>
      <c r="FZ42" s="17">
        <f ca="1">OFFSET(Gemini抽出データ!$A$1,FY36,4)</f>
        <v>0</v>
      </c>
      <c r="GA42" s="18" t="str">
        <f ca="1">IF(OFFSET(Gemini抽出データ!$A$1,FY36,5)=0,"",OFFSET(Gemini抽出データ!$A$1,FY36,5))</f>
        <v/>
      </c>
      <c r="GB42" s="16" t="str">
        <f>FY42</f>
        <v>クラス421</v>
      </c>
      <c r="GC42" s="17">
        <f ca="1">OFFSET(Gemini抽出データ!$A$1,GB36,4)</f>
        <v>0</v>
      </c>
      <c r="GD42" s="18" t="str">
        <f ca="1">IF(OFFSET(Gemini抽出データ!$A$1,GB36,5)=0,"",OFFSET(Gemini抽出データ!$A$1,GB36,5))</f>
        <v/>
      </c>
      <c r="GE42" s="19" t="str">
        <f>FY42</f>
        <v>クラス421</v>
      </c>
      <c r="GF42" s="17">
        <f ca="1">OFFSET(Gemini抽出データ!$A$1,GE36,4)</f>
        <v>0</v>
      </c>
      <c r="GG42" s="17" t="str">
        <f ca="1">IF(OFFSET(Gemini抽出データ!$A$1,GE36,5)=0,"",OFFSET(Gemini抽出データ!$A$1,GE36,5))</f>
        <v/>
      </c>
      <c r="GH42" s="16" t="str">
        <f>GE42</f>
        <v>クラス421</v>
      </c>
      <c r="GI42" s="17">
        <f ca="1">OFFSET(Gemini抽出データ!$A$1,GH36,4)</f>
        <v>0</v>
      </c>
      <c r="GJ42" s="18" t="str">
        <f ca="1">IF(OFFSET(Gemini抽出データ!$A$1,GH36,5)=0,"",OFFSET(Gemini抽出データ!$A$1,GH36,5))</f>
        <v/>
      </c>
      <c r="GK42" s="16" t="str">
        <f>"クラス"&amp;GK$1</f>
        <v>クラス449</v>
      </c>
      <c r="GL42" s="17">
        <f ca="1">OFFSET(Gemini抽出データ!$A$1,GK36,4)</f>
        <v>0</v>
      </c>
      <c r="GM42" s="18" t="str">
        <f ca="1">IF(OFFSET(Gemini抽出データ!$A$1,GK36,5)=0,"",OFFSET(Gemini抽出データ!$A$1,GK36,5))</f>
        <v/>
      </c>
      <c r="GN42" s="16" t="str">
        <f>GK42</f>
        <v>クラス449</v>
      </c>
      <c r="GO42" s="17">
        <f ca="1">OFFSET(Gemini抽出データ!$A$1,GN36,4)</f>
        <v>0</v>
      </c>
      <c r="GP42" s="18" t="str">
        <f ca="1">IF(OFFSET(Gemini抽出データ!$A$1,GN36,5)=0,"",OFFSET(Gemini抽出データ!$A$1,GN36,5))</f>
        <v/>
      </c>
      <c r="GQ42" s="19" t="str">
        <f>GK42</f>
        <v>クラス449</v>
      </c>
      <c r="GR42" s="17">
        <f ca="1">OFFSET(Gemini抽出データ!$A$1,GQ36,4)</f>
        <v>0</v>
      </c>
      <c r="GS42" s="17" t="str">
        <f ca="1">IF(OFFSET(Gemini抽出データ!$A$1,GQ36,5)=0,"",OFFSET(Gemini抽出データ!$A$1,GQ36,5))</f>
        <v/>
      </c>
      <c r="GT42" s="16" t="str">
        <f>GQ42</f>
        <v>クラス449</v>
      </c>
      <c r="GU42" s="17">
        <f ca="1">OFFSET(Gemini抽出データ!$A$1,GT36,4)</f>
        <v>0</v>
      </c>
      <c r="GV42" s="18" t="str">
        <f ca="1">IF(OFFSET(Gemini抽出データ!$A$1,GT36,5)=0,"",OFFSET(Gemini抽出データ!$A$1,GT36,5))</f>
        <v/>
      </c>
      <c r="GW42" s="16" t="str">
        <f>"クラス"&amp;GW$1</f>
        <v>クラス477</v>
      </c>
      <c r="GX42" s="17">
        <f ca="1">OFFSET(Gemini抽出データ!$A$1,GW36,4)</f>
        <v>0</v>
      </c>
      <c r="GY42" s="18" t="str">
        <f ca="1">IF(OFFSET(Gemini抽出データ!$A$1,GW36,5)=0,"",OFFSET(Gemini抽出データ!$A$1,GW36,5))</f>
        <v/>
      </c>
      <c r="GZ42" s="16" t="str">
        <f>GW42</f>
        <v>クラス477</v>
      </c>
      <c r="HA42" s="17">
        <f ca="1">OFFSET(Gemini抽出データ!$A$1,GZ36,4)</f>
        <v>0</v>
      </c>
      <c r="HB42" s="18" t="str">
        <f ca="1">IF(OFFSET(Gemini抽出データ!$A$1,GZ36,5)=0,"",OFFSET(Gemini抽出データ!$A$1,GZ36,5))</f>
        <v/>
      </c>
      <c r="HC42" s="19" t="str">
        <f>GW42</f>
        <v>クラス477</v>
      </c>
      <c r="HD42" s="17">
        <f ca="1">OFFSET(Gemini抽出データ!$A$1,HC36,4)</f>
        <v>0</v>
      </c>
      <c r="HE42" s="17" t="str">
        <f ca="1">IF(OFFSET(Gemini抽出データ!$A$1,HC36,5)=0,"",OFFSET(Gemini抽出データ!$A$1,HC36,5))</f>
        <v/>
      </c>
      <c r="HF42" s="16" t="str">
        <f>HC42</f>
        <v>クラス477</v>
      </c>
      <c r="HG42" s="17">
        <f ca="1">OFFSET(Gemini抽出データ!$A$1,HF36,4)</f>
        <v>0</v>
      </c>
      <c r="HH42" s="18" t="str">
        <f ca="1">IF(OFFSET(Gemini抽出データ!$A$1,HF36,5)=0,"",OFFSET(Gemini抽出データ!$A$1,HF36,5))</f>
        <v/>
      </c>
      <c r="HI42" s="16" t="str">
        <f>"クラス"&amp;HI$1</f>
        <v>クラス505</v>
      </c>
      <c r="HJ42" s="17">
        <f ca="1">OFFSET(Gemini抽出データ!$A$1,HI36,4)</f>
        <v>0</v>
      </c>
      <c r="HK42" s="18" t="str">
        <f ca="1">IF(OFFSET(Gemini抽出データ!$A$1,HI36,5)=0,"",OFFSET(Gemini抽出データ!$A$1,HI36,5))</f>
        <v/>
      </c>
      <c r="HL42" s="16" t="str">
        <f>HI42</f>
        <v>クラス505</v>
      </c>
      <c r="HM42" s="17">
        <f ca="1">OFFSET(Gemini抽出データ!$A$1,HL36,4)</f>
        <v>0</v>
      </c>
      <c r="HN42" s="18" t="str">
        <f ca="1">IF(OFFSET(Gemini抽出データ!$A$1,HL36,5)=0,"",OFFSET(Gemini抽出データ!$A$1,HL36,5))</f>
        <v/>
      </c>
      <c r="HO42" s="19" t="str">
        <f>HI42</f>
        <v>クラス505</v>
      </c>
      <c r="HP42" s="17">
        <f ca="1">OFFSET(Gemini抽出データ!$A$1,HO36,4)</f>
        <v>0</v>
      </c>
      <c r="HQ42" s="17" t="str">
        <f ca="1">IF(OFFSET(Gemini抽出データ!$A$1,HO36,5)=0,"",OFFSET(Gemini抽出データ!$A$1,HO36,5))</f>
        <v/>
      </c>
      <c r="HR42" s="16" t="str">
        <f>HO42</f>
        <v>クラス505</v>
      </c>
      <c r="HS42" s="17">
        <f ca="1">OFFSET(Gemini抽出データ!$A$1,HR36,4)</f>
        <v>0</v>
      </c>
      <c r="HT42" s="18" t="str">
        <f ca="1">IF(OFFSET(Gemini抽出データ!$A$1,HR36,5)=0,"",OFFSET(Gemini抽出データ!$A$1,HR36,5))</f>
        <v/>
      </c>
      <c r="HU42" t="e">
        <f ca="1">OFFSET(Gemini抽出データ!$A$1,#REF!,4)</f>
        <v>#REF!</v>
      </c>
      <c r="HV42" t="e">
        <f ca="1">IF(OFFSET(Gemini抽出データ!$A$1,#REF!,5)=0,"",OFFSET(Gemini抽出データ!$A$1,#REF!,5))</f>
        <v>#REF!</v>
      </c>
    </row>
    <row r="43" spans="1:230" ht="17.100000000000001" customHeight="1" x14ac:dyDescent="0.45">
      <c r="A43" s="10">
        <f>J36+1</f>
        <v>25</v>
      </c>
      <c r="B43" s="20">
        <f ca="1">OFFSET(Gemini抽出データ!$A$1,A43,0)</f>
        <v>0</v>
      </c>
      <c r="C43" s="14"/>
      <c r="D43" s="10">
        <f>A43+1</f>
        <v>26</v>
      </c>
      <c r="E43" s="20">
        <f ca="1">OFFSET(Gemini抽出データ!$A$1,D43,0)</f>
        <v>0</v>
      </c>
      <c r="F43" s="15"/>
      <c r="G43" s="13">
        <f>D43+1</f>
        <v>27</v>
      </c>
      <c r="H43" s="20">
        <f ca="1">OFFSET(Gemini抽出データ!$A$1,G43,0)</f>
        <v>0</v>
      </c>
      <c r="I43" s="14"/>
      <c r="J43" s="10">
        <f>G43+1</f>
        <v>28</v>
      </c>
      <c r="K43" s="20">
        <f ca="1">OFFSET(Gemini抽出データ!$A$1,J43,0)</f>
        <v>0</v>
      </c>
      <c r="L43" s="15"/>
      <c r="M43" s="10">
        <f>V36+1</f>
        <v>53</v>
      </c>
      <c r="N43" s="20">
        <f ca="1">OFFSET(Gemini抽出データ!$A$1,M43,0)</f>
        <v>0</v>
      </c>
      <c r="O43" s="14"/>
      <c r="P43" s="10">
        <f>M43+1</f>
        <v>54</v>
      </c>
      <c r="Q43" s="20">
        <f ca="1">OFFSET(Gemini抽出データ!$A$1,P43,0)</f>
        <v>0</v>
      </c>
      <c r="R43" s="15"/>
      <c r="S43" s="13">
        <f>P43+1</f>
        <v>55</v>
      </c>
      <c r="T43" s="20">
        <f ca="1">OFFSET(Gemini抽出データ!$A$1,S43,0)</f>
        <v>0</v>
      </c>
      <c r="U43" s="14"/>
      <c r="V43" s="10">
        <f>S43+1</f>
        <v>56</v>
      </c>
      <c r="W43" s="20">
        <f ca="1">OFFSET(Gemini抽出データ!$A$1,V43,0)</f>
        <v>0</v>
      </c>
      <c r="X43" s="15"/>
      <c r="Y43" s="10">
        <f>AH36+1</f>
        <v>81</v>
      </c>
      <c r="Z43" s="20">
        <f ca="1">OFFSET(Gemini抽出データ!$A$1,Y43,0)</f>
        <v>0</v>
      </c>
      <c r="AA43" s="14"/>
      <c r="AB43" s="10">
        <f>Y43+1</f>
        <v>82</v>
      </c>
      <c r="AC43" s="20">
        <f ca="1">OFFSET(Gemini抽出データ!$A$1,AB43,0)</f>
        <v>0</v>
      </c>
      <c r="AD43" s="15"/>
      <c r="AE43" s="13">
        <f>AB43+1</f>
        <v>83</v>
      </c>
      <c r="AF43" s="20">
        <f ca="1">OFFSET(Gemini抽出データ!$A$1,AE43,0)</f>
        <v>0</v>
      </c>
      <c r="AG43" s="14"/>
      <c r="AH43" s="10">
        <f>AE43+1</f>
        <v>84</v>
      </c>
      <c r="AI43" s="20">
        <f ca="1">OFFSET(Gemini抽出データ!$A$1,AH43,0)</f>
        <v>0</v>
      </c>
      <c r="AJ43" s="15"/>
      <c r="AK43" s="10">
        <f>AT36+1</f>
        <v>109</v>
      </c>
      <c r="AL43" s="20">
        <f ca="1">OFFSET(Gemini抽出データ!$A$1,AK43,0)</f>
        <v>0</v>
      </c>
      <c r="AM43" s="14"/>
      <c r="AN43" s="10">
        <f>AK43+1</f>
        <v>110</v>
      </c>
      <c r="AO43" s="20">
        <f ca="1">OFFSET(Gemini抽出データ!$A$1,AN43,0)</f>
        <v>0</v>
      </c>
      <c r="AP43" s="15"/>
      <c r="AQ43" s="13">
        <f>AN43+1</f>
        <v>111</v>
      </c>
      <c r="AR43" s="20">
        <f ca="1">OFFSET(Gemini抽出データ!$A$1,AQ43,0)</f>
        <v>0</v>
      </c>
      <c r="AS43" s="14"/>
      <c r="AT43" s="10">
        <f>AQ43+1</f>
        <v>112</v>
      </c>
      <c r="AU43" s="20">
        <f ca="1">OFFSET(Gemini抽出データ!$A$1,AT43,0)</f>
        <v>0</v>
      </c>
      <c r="AV43" s="15"/>
      <c r="AW43" s="10">
        <f>BF36+1</f>
        <v>137</v>
      </c>
      <c r="AX43" s="20">
        <f ca="1">OFFSET(Gemini抽出データ!$A$1,AW43,0)</f>
        <v>0</v>
      </c>
      <c r="AY43" s="14"/>
      <c r="AZ43" s="10">
        <f>AW43+1</f>
        <v>138</v>
      </c>
      <c r="BA43" s="20">
        <f ca="1">OFFSET(Gemini抽出データ!$A$1,AZ43,0)</f>
        <v>0</v>
      </c>
      <c r="BB43" s="15"/>
      <c r="BC43" s="13">
        <f>AZ43+1</f>
        <v>139</v>
      </c>
      <c r="BD43" s="20">
        <f ca="1">OFFSET(Gemini抽出データ!$A$1,BC43,0)</f>
        <v>0</v>
      </c>
      <c r="BE43" s="14"/>
      <c r="BF43" s="10">
        <f>BC43+1</f>
        <v>140</v>
      </c>
      <c r="BG43" s="20">
        <f ca="1">OFFSET(Gemini抽出データ!$A$1,BF43,0)</f>
        <v>0</v>
      </c>
      <c r="BH43" s="15"/>
      <c r="BI43" s="10">
        <f>BR36+1</f>
        <v>165</v>
      </c>
      <c r="BJ43" s="20">
        <f ca="1">OFFSET(Gemini抽出データ!$A$1,BI43,0)</f>
        <v>0</v>
      </c>
      <c r="BK43" s="14"/>
      <c r="BL43" s="10">
        <f>BI43+1</f>
        <v>166</v>
      </c>
      <c r="BM43" s="20">
        <f ca="1">OFFSET(Gemini抽出データ!$A$1,BL43,0)</f>
        <v>0</v>
      </c>
      <c r="BN43" s="15"/>
      <c r="BO43" s="13">
        <f>BL43+1</f>
        <v>167</v>
      </c>
      <c r="BP43" s="20">
        <f ca="1">OFFSET(Gemini抽出データ!$A$1,BO43,0)</f>
        <v>0</v>
      </c>
      <c r="BQ43" s="14"/>
      <c r="BR43" s="10">
        <f>BO43+1</f>
        <v>168</v>
      </c>
      <c r="BS43" s="20">
        <f ca="1">OFFSET(Gemini抽出データ!$A$1,BR43,0)</f>
        <v>0</v>
      </c>
      <c r="BT43" s="15"/>
      <c r="BU43" s="10">
        <f>CD36+1</f>
        <v>193</v>
      </c>
      <c r="BV43" s="20">
        <f ca="1">OFFSET(Gemini抽出データ!$A$1,BU43,0)</f>
        <v>0</v>
      </c>
      <c r="BW43" s="14"/>
      <c r="BX43" s="10">
        <f>BU43+1</f>
        <v>194</v>
      </c>
      <c r="BY43" s="20">
        <f ca="1">OFFSET(Gemini抽出データ!$A$1,BX43,0)</f>
        <v>0</v>
      </c>
      <c r="BZ43" s="15"/>
      <c r="CA43" s="13">
        <f>BX43+1</f>
        <v>195</v>
      </c>
      <c r="CB43" s="20">
        <f ca="1">OFFSET(Gemini抽出データ!$A$1,CA43,0)</f>
        <v>0</v>
      </c>
      <c r="CC43" s="14"/>
      <c r="CD43" s="10">
        <f>CA43+1</f>
        <v>196</v>
      </c>
      <c r="CE43" s="20">
        <f ca="1">OFFSET(Gemini抽出データ!$A$1,CD43,0)</f>
        <v>0</v>
      </c>
      <c r="CF43" s="15"/>
      <c r="CG43" s="10">
        <f>CP36+1</f>
        <v>221</v>
      </c>
      <c r="CH43" s="20">
        <f ca="1">OFFSET(Gemini抽出データ!$A$1,CG43,0)</f>
        <v>0</v>
      </c>
      <c r="CI43" s="14"/>
      <c r="CJ43" s="10">
        <f>CG43+1</f>
        <v>222</v>
      </c>
      <c r="CK43" s="20">
        <f ca="1">OFFSET(Gemini抽出データ!$A$1,CJ43,0)</f>
        <v>0</v>
      </c>
      <c r="CL43" s="15"/>
      <c r="CM43" s="13">
        <f>CJ43+1</f>
        <v>223</v>
      </c>
      <c r="CN43" s="20">
        <f ca="1">OFFSET(Gemini抽出データ!$A$1,CM43,0)</f>
        <v>0</v>
      </c>
      <c r="CO43" s="14"/>
      <c r="CP43" s="10">
        <f>CM43+1</f>
        <v>224</v>
      </c>
      <c r="CQ43" s="20">
        <f ca="1">OFFSET(Gemini抽出データ!$A$1,CP43,0)</f>
        <v>0</v>
      </c>
      <c r="CR43" s="15"/>
      <c r="CS43" s="10">
        <f>DB36+1</f>
        <v>249</v>
      </c>
      <c r="CT43" s="20">
        <f ca="1">OFFSET(Gemini抽出データ!$A$1,CS43,0)</f>
        <v>0</v>
      </c>
      <c r="CU43" s="14"/>
      <c r="CV43" s="10">
        <f>CS43+1</f>
        <v>250</v>
      </c>
      <c r="CW43" s="20">
        <f ca="1">OFFSET(Gemini抽出データ!$A$1,CV43,0)</f>
        <v>0</v>
      </c>
      <c r="CX43" s="15"/>
      <c r="CY43" s="13">
        <f>CV43+1</f>
        <v>251</v>
      </c>
      <c r="CZ43" s="20">
        <f ca="1">OFFSET(Gemini抽出データ!$A$1,CY43,0)</f>
        <v>0</v>
      </c>
      <c r="DA43" s="14"/>
      <c r="DB43" s="10">
        <f>CY43+1</f>
        <v>252</v>
      </c>
      <c r="DC43" s="20">
        <f ca="1">OFFSET(Gemini抽出データ!$A$1,DB43,0)</f>
        <v>0</v>
      </c>
      <c r="DD43" s="15"/>
      <c r="DE43" s="10">
        <f>DN36+1</f>
        <v>277</v>
      </c>
      <c r="DF43" s="20">
        <f ca="1">OFFSET(Gemini抽出データ!$A$1,DE43,0)</f>
        <v>0</v>
      </c>
      <c r="DG43" s="14"/>
      <c r="DH43" s="10">
        <f>DE43+1</f>
        <v>278</v>
      </c>
      <c r="DI43" s="20">
        <f ca="1">OFFSET(Gemini抽出データ!$A$1,DH43,0)</f>
        <v>0</v>
      </c>
      <c r="DJ43" s="15"/>
      <c r="DK43" s="13">
        <f>DH43+1</f>
        <v>279</v>
      </c>
      <c r="DL43" s="20">
        <f ca="1">OFFSET(Gemini抽出データ!$A$1,DK43,0)</f>
        <v>0</v>
      </c>
      <c r="DM43" s="14"/>
      <c r="DN43" s="10">
        <f>DK43+1</f>
        <v>280</v>
      </c>
      <c r="DO43" s="20">
        <f ca="1">OFFSET(Gemini抽出データ!$A$1,DN43,0)</f>
        <v>0</v>
      </c>
      <c r="DP43" s="15"/>
      <c r="DQ43" s="10">
        <f>DZ36+1</f>
        <v>305</v>
      </c>
      <c r="DR43" s="20">
        <f ca="1">OFFSET(Gemini抽出データ!$A$1,DQ43,0)</f>
        <v>0</v>
      </c>
      <c r="DS43" s="14"/>
      <c r="DT43" s="10">
        <f>DQ43+1</f>
        <v>306</v>
      </c>
      <c r="DU43" s="20">
        <f ca="1">OFFSET(Gemini抽出データ!$A$1,DT43,0)</f>
        <v>0</v>
      </c>
      <c r="DV43" s="15"/>
      <c r="DW43" s="13">
        <f>DT43+1</f>
        <v>307</v>
      </c>
      <c r="DX43" s="20">
        <f ca="1">OFFSET(Gemini抽出データ!$A$1,DW43,0)</f>
        <v>0</v>
      </c>
      <c r="DY43" s="14"/>
      <c r="DZ43" s="10">
        <f>DW43+1</f>
        <v>308</v>
      </c>
      <c r="EA43" s="20">
        <f ca="1">OFFSET(Gemini抽出データ!$A$1,DZ43,0)</f>
        <v>0</v>
      </c>
      <c r="EB43" s="15"/>
      <c r="EC43" s="10">
        <f>EL36+1</f>
        <v>333</v>
      </c>
      <c r="ED43" s="20">
        <f ca="1">OFFSET(Gemini抽出データ!$A$1,EC43,0)</f>
        <v>0</v>
      </c>
      <c r="EE43" s="14"/>
      <c r="EF43" s="10">
        <f>EC43+1</f>
        <v>334</v>
      </c>
      <c r="EG43" s="20">
        <f ca="1">OFFSET(Gemini抽出データ!$A$1,EF43,0)</f>
        <v>0</v>
      </c>
      <c r="EH43" s="15"/>
      <c r="EI43" s="13">
        <f>EF43+1</f>
        <v>335</v>
      </c>
      <c r="EJ43" s="20">
        <f ca="1">OFFSET(Gemini抽出データ!$A$1,EI43,0)</f>
        <v>0</v>
      </c>
      <c r="EK43" s="14"/>
      <c r="EL43" s="10">
        <f>EI43+1</f>
        <v>336</v>
      </c>
      <c r="EM43" s="20">
        <f ca="1">OFFSET(Gemini抽出データ!$A$1,EL43,0)</f>
        <v>0</v>
      </c>
      <c r="EN43" s="15"/>
      <c r="EO43" s="10">
        <f>EX36+1</f>
        <v>361</v>
      </c>
      <c r="EP43" s="20">
        <f ca="1">OFFSET(Gemini抽出データ!$A$1,EO43,0)</f>
        <v>0</v>
      </c>
      <c r="EQ43" s="14"/>
      <c r="ER43" s="10">
        <f>EO43+1</f>
        <v>362</v>
      </c>
      <c r="ES43" s="20">
        <f ca="1">OFFSET(Gemini抽出データ!$A$1,ER43,0)</f>
        <v>0</v>
      </c>
      <c r="ET43" s="15"/>
      <c r="EU43" s="13">
        <f>ER43+1</f>
        <v>363</v>
      </c>
      <c r="EV43" s="20">
        <f ca="1">OFFSET(Gemini抽出データ!$A$1,EU43,0)</f>
        <v>0</v>
      </c>
      <c r="EW43" s="14"/>
      <c r="EX43" s="10">
        <f>EU43+1</f>
        <v>364</v>
      </c>
      <c r="EY43" s="20">
        <f ca="1">OFFSET(Gemini抽出データ!$A$1,EX43,0)</f>
        <v>0</v>
      </c>
      <c r="EZ43" s="15"/>
      <c r="FA43" s="10">
        <f>FJ36+1</f>
        <v>389</v>
      </c>
      <c r="FB43" s="20">
        <f ca="1">OFFSET(Gemini抽出データ!$A$1,FA43,0)</f>
        <v>0</v>
      </c>
      <c r="FC43" s="14"/>
      <c r="FD43" s="10">
        <f>FA43+1</f>
        <v>390</v>
      </c>
      <c r="FE43" s="20">
        <f ca="1">OFFSET(Gemini抽出データ!$A$1,FD43,0)</f>
        <v>0</v>
      </c>
      <c r="FF43" s="15"/>
      <c r="FG43" s="13">
        <f>FD43+1</f>
        <v>391</v>
      </c>
      <c r="FH43" s="20">
        <f ca="1">OFFSET(Gemini抽出データ!$A$1,FG43,0)</f>
        <v>0</v>
      </c>
      <c r="FI43" s="14"/>
      <c r="FJ43" s="10">
        <f>FG43+1</f>
        <v>392</v>
      </c>
      <c r="FK43" s="20">
        <f ca="1">OFFSET(Gemini抽出データ!$A$1,FJ43,0)</f>
        <v>0</v>
      </c>
      <c r="FL43" s="15"/>
      <c r="FM43" s="10">
        <f>FV36+1</f>
        <v>417</v>
      </c>
      <c r="FN43" s="20">
        <f ca="1">OFFSET(Gemini抽出データ!$A$1,FM43,0)</f>
        <v>0</v>
      </c>
      <c r="FO43" s="14"/>
      <c r="FP43" s="10">
        <f>FM43+1</f>
        <v>418</v>
      </c>
      <c r="FQ43" s="20">
        <f ca="1">OFFSET(Gemini抽出データ!$A$1,FP43,0)</f>
        <v>0</v>
      </c>
      <c r="FR43" s="15"/>
      <c r="FS43" s="13">
        <f>FP43+1</f>
        <v>419</v>
      </c>
      <c r="FT43" s="20">
        <f ca="1">OFFSET(Gemini抽出データ!$A$1,FS43,0)</f>
        <v>0</v>
      </c>
      <c r="FU43" s="14"/>
      <c r="FV43" s="10">
        <f>FS43+1</f>
        <v>420</v>
      </c>
      <c r="FW43" s="20">
        <f ca="1">OFFSET(Gemini抽出データ!$A$1,FV43,0)</f>
        <v>0</v>
      </c>
      <c r="FX43" s="15"/>
      <c r="FY43" s="10">
        <f>GH36+1</f>
        <v>445</v>
      </c>
      <c r="FZ43" s="20">
        <f ca="1">OFFSET(Gemini抽出データ!$A$1,FY43,0)</f>
        <v>0</v>
      </c>
      <c r="GA43" s="14"/>
      <c r="GB43" s="10">
        <f>FY43+1</f>
        <v>446</v>
      </c>
      <c r="GC43" s="20">
        <f ca="1">OFFSET(Gemini抽出データ!$A$1,GB43,0)</f>
        <v>0</v>
      </c>
      <c r="GD43" s="15"/>
      <c r="GE43" s="13">
        <f>GB43+1</f>
        <v>447</v>
      </c>
      <c r="GF43" s="20">
        <f ca="1">OFFSET(Gemini抽出データ!$A$1,GE43,0)</f>
        <v>0</v>
      </c>
      <c r="GG43" s="14"/>
      <c r="GH43" s="10">
        <f>GE43+1</f>
        <v>448</v>
      </c>
      <c r="GI43" s="20">
        <f ca="1">OFFSET(Gemini抽出データ!$A$1,GH43,0)</f>
        <v>0</v>
      </c>
      <c r="GJ43" s="15"/>
      <c r="GK43" s="10">
        <f>GT36+1</f>
        <v>473</v>
      </c>
      <c r="GL43" s="20">
        <f ca="1">OFFSET(Gemini抽出データ!$A$1,GK43,0)</f>
        <v>0</v>
      </c>
      <c r="GM43" s="14"/>
      <c r="GN43" s="10">
        <f>GK43+1</f>
        <v>474</v>
      </c>
      <c r="GO43" s="20">
        <f ca="1">OFFSET(Gemini抽出データ!$A$1,GN43,0)</f>
        <v>0</v>
      </c>
      <c r="GP43" s="15"/>
      <c r="GQ43" s="13">
        <f>GN43+1</f>
        <v>475</v>
      </c>
      <c r="GR43" s="20">
        <f ca="1">OFFSET(Gemini抽出データ!$A$1,GQ43,0)</f>
        <v>0</v>
      </c>
      <c r="GS43" s="14"/>
      <c r="GT43" s="10">
        <f>GQ43+1</f>
        <v>476</v>
      </c>
      <c r="GU43" s="20">
        <f ca="1">OFFSET(Gemini抽出データ!$A$1,GT43,0)</f>
        <v>0</v>
      </c>
      <c r="GV43" s="15"/>
      <c r="GW43" s="10">
        <f>HF36+1</f>
        <v>501</v>
      </c>
      <c r="GX43" s="20">
        <f ca="1">OFFSET(Gemini抽出データ!$A$1,GW43,0)</f>
        <v>0</v>
      </c>
      <c r="GY43" s="14"/>
      <c r="GZ43" s="10">
        <f>GW43+1</f>
        <v>502</v>
      </c>
      <c r="HA43" s="20">
        <f ca="1">OFFSET(Gemini抽出データ!$A$1,GZ43,0)</f>
        <v>0</v>
      </c>
      <c r="HB43" s="15"/>
      <c r="HC43" s="13">
        <f>GZ43+1</f>
        <v>503</v>
      </c>
      <c r="HD43" s="20">
        <f ca="1">OFFSET(Gemini抽出データ!$A$1,HC43,0)</f>
        <v>0</v>
      </c>
      <c r="HE43" s="14"/>
      <c r="HF43" s="10">
        <f>HC43+1</f>
        <v>504</v>
      </c>
      <c r="HG43" s="20">
        <f ca="1">OFFSET(Gemini抽出データ!$A$1,HF43,0)</f>
        <v>0</v>
      </c>
      <c r="HH43" s="15"/>
      <c r="HI43" s="10">
        <f>HR36+1</f>
        <v>529</v>
      </c>
      <c r="HJ43" s="20">
        <f ca="1">OFFSET(Gemini抽出データ!$A$1,HI43,0)</f>
        <v>0</v>
      </c>
      <c r="HK43" s="14"/>
      <c r="HL43" s="10">
        <f>HI43+1</f>
        <v>530</v>
      </c>
      <c r="HM43" s="20">
        <f ca="1">OFFSET(Gemini抽出データ!$A$1,HL43,0)</f>
        <v>0</v>
      </c>
      <c r="HN43" s="15"/>
      <c r="HO43" s="13">
        <f>HL43+1</f>
        <v>531</v>
      </c>
      <c r="HP43" s="20">
        <f ca="1">OFFSET(Gemini抽出データ!$A$1,HO43,0)</f>
        <v>0</v>
      </c>
      <c r="HQ43" s="14"/>
      <c r="HR43" s="10">
        <f>HO43+1</f>
        <v>532</v>
      </c>
      <c r="HS43" s="20">
        <f ca="1">OFFSET(Gemini抽出データ!$A$1,HR43,0)</f>
        <v>0</v>
      </c>
      <c r="HT43" s="15"/>
      <c r="HU43" s="4" t="e">
        <f ca="1">OFFSET(Gemini抽出データ!$A$1,#REF!,0)</f>
        <v>#REF!</v>
      </c>
      <c r="HV43" s="3"/>
    </row>
    <row r="44" spans="1:230" ht="17.100000000000001" customHeight="1" x14ac:dyDescent="0.45">
      <c r="A44" s="10" t="str">
        <f>"クライアント名"&amp;A$1</f>
        <v>クライアント名1</v>
      </c>
      <c r="B44" s="11">
        <f ca="1">OFFSET(Gemini抽出データ!$A$1,A43,2)</f>
        <v>0</v>
      </c>
      <c r="C44" s="11"/>
      <c r="D44" s="10" t="str">
        <f>"クライアント名"&amp;D$1</f>
        <v>クライアント名2</v>
      </c>
      <c r="E44" s="11">
        <f ca="1">OFFSET(Gemini抽出データ!$A$1,D43,2)</f>
        <v>0</v>
      </c>
      <c r="F44" s="12"/>
      <c r="G44" s="13" t="str">
        <f>"クライアント名"&amp;G$1</f>
        <v>クライアント名3</v>
      </c>
      <c r="H44" s="11">
        <f ca="1">OFFSET(Gemini抽出データ!$A$1,G43,2)</f>
        <v>0</v>
      </c>
      <c r="I44" s="11"/>
      <c r="J44" s="10" t="str">
        <f>"クライアント名"&amp;J$1</f>
        <v>クライアント名4</v>
      </c>
      <c r="K44" s="11">
        <f ca="1">OFFSET(Gemini抽出データ!$A$1,J43,2)</f>
        <v>0</v>
      </c>
      <c r="L44" s="12"/>
      <c r="M44" s="10" t="str">
        <f>"クライアント名"&amp;M$1</f>
        <v>クライアント名29</v>
      </c>
      <c r="N44" s="11">
        <f ca="1">OFFSET(Gemini抽出データ!$A$1,M43,2)</f>
        <v>0</v>
      </c>
      <c r="O44" s="11"/>
      <c r="P44" s="10" t="str">
        <f>"クライアント名"&amp;P$1</f>
        <v>クライアント名30</v>
      </c>
      <c r="Q44" s="11">
        <f ca="1">OFFSET(Gemini抽出データ!$A$1,P43,2)</f>
        <v>0</v>
      </c>
      <c r="R44" s="12"/>
      <c r="S44" s="13" t="str">
        <f>"クライアント名"&amp;S$1</f>
        <v>クライアント名31</v>
      </c>
      <c r="T44" s="11">
        <f ca="1">OFFSET(Gemini抽出データ!$A$1,S43,2)</f>
        <v>0</v>
      </c>
      <c r="U44" s="11"/>
      <c r="V44" s="10" t="str">
        <f>"クライアント名"&amp;V$1</f>
        <v>クライアント名32</v>
      </c>
      <c r="W44" s="11">
        <f ca="1">OFFSET(Gemini抽出データ!$A$1,V43,2)</f>
        <v>0</v>
      </c>
      <c r="X44" s="12"/>
      <c r="Y44" s="10" t="str">
        <f>"クライアント名"&amp;Y$1</f>
        <v>クライアント名57</v>
      </c>
      <c r="Z44" s="11">
        <f ca="1">OFFSET(Gemini抽出データ!$A$1,Y43,2)</f>
        <v>0</v>
      </c>
      <c r="AA44" s="11"/>
      <c r="AB44" s="10" t="str">
        <f>"クライアント名"&amp;AB$1</f>
        <v>クライアント名58</v>
      </c>
      <c r="AC44" s="11">
        <f ca="1">OFFSET(Gemini抽出データ!$A$1,AB43,2)</f>
        <v>0</v>
      </c>
      <c r="AD44" s="12"/>
      <c r="AE44" s="13" t="str">
        <f>"クライアント名"&amp;AE$1</f>
        <v>クライアント名59</v>
      </c>
      <c r="AF44" s="11">
        <f ca="1">OFFSET(Gemini抽出データ!$A$1,AE43,2)</f>
        <v>0</v>
      </c>
      <c r="AG44" s="11"/>
      <c r="AH44" s="10" t="str">
        <f>"クライアント名"&amp;AH$1</f>
        <v>クライアント名60</v>
      </c>
      <c r="AI44" s="11">
        <f ca="1">OFFSET(Gemini抽出データ!$A$1,AH43,2)</f>
        <v>0</v>
      </c>
      <c r="AJ44" s="12"/>
      <c r="AK44" s="10" t="str">
        <f>"クライアント名"&amp;AK$1</f>
        <v>クライアント名85</v>
      </c>
      <c r="AL44" s="11">
        <f ca="1">OFFSET(Gemini抽出データ!$A$1,AK43,2)</f>
        <v>0</v>
      </c>
      <c r="AM44" s="11"/>
      <c r="AN44" s="10" t="str">
        <f>"クライアント名"&amp;AN$1</f>
        <v>クライアント名86</v>
      </c>
      <c r="AO44" s="11">
        <f ca="1">OFFSET(Gemini抽出データ!$A$1,AN43,2)</f>
        <v>0</v>
      </c>
      <c r="AP44" s="12"/>
      <c r="AQ44" s="13" t="str">
        <f>"クライアント名"&amp;AQ$1</f>
        <v>クライアント名87</v>
      </c>
      <c r="AR44" s="11">
        <f ca="1">OFFSET(Gemini抽出データ!$A$1,AQ43,2)</f>
        <v>0</v>
      </c>
      <c r="AS44" s="11"/>
      <c r="AT44" s="10" t="str">
        <f>"クライアント名"&amp;AT$1</f>
        <v>クライアント名88</v>
      </c>
      <c r="AU44" s="11">
        <f ca="1">OFFSET(Gemini抽出データ!$A$1,AT43,2)</f>
        <v>0</v>
      </c>
      <c r="AV44" s="12"/>
      <c r="AW44" s="10" t="str">
        <f>"クライアント名"&amp;AW$1</f>
        <v>クライアント名113</v>
      </c>
      <c r="AX44" s="11">
        <f ca="1">OFFSET(Gemini抽出データ!$A$1,AW43,2)</f>
        <v>0</v>
      </c>
      <c r="AY44" s="11"/>
      <c r="AZ44" s="10" t="str">
        <f>"クライアント名"&amp;AZ$1</f>
        <v>クライアント名114</v>
      </c>
      <c r="BA44" s="11">
        <f ca="1">OFFSET(Gemini抽出データ!$A$1,AZ43,2)</f>
        <v>0</v>
      </c>
      <c r="BB44" s="12"/>
      <c r="BC44" s="13" t="str">
        <f>"クライアント名"&amp;BC$1</f>
        <v>クライアント名115</v>
      </c>
      <c r="BD44" s="11">
        <f ca="1">OFFSET(Gemini抽出データ!$A$1,BC43,2)</f>
        <v>0</v>
      </c>
      <c r="BE44" s="11"/>
      <c r="BF44" s="10" t="str">
        <f>"クライアント名"&amp;BF$1</f>
        <v>クライアント名116</v>
      </c>
      <c r="BG44" s="11">
        <f ca="1">OFFSET(Gemini抽出データ!$A$1,BF43,2)</f>
        <v>0</v>
      </c>
      <c r="BH44" s="12"/>
      <c r="BI44" s="10" t="str">
        <f>"クライアント名"&amp;BI$1</f>
        <v>クライアント名141</v>
      </c>
      <c r="BJ44" s="11">
        <f ca="1">OFFSET(Gemini抽出データ!$A$1,BI43,2)</f>
        <v>0</v>
      </c>
      <c r="BK44" s="11"/>
      <c r="BL44" s="10" t="str">
        <f>"クライアント名"&amp;BL$1</f>
        <v>クライアント名142</v>
      </c>
      <c r="BM44" s="11">
        <f ca="1">OFFSET(Gemini抽出データ!$A$1,BL43,2)</f>
        <v>0</v>
      </c>
      <c r="BN44" s="12"/>
      <c r="BO44" s="13" t="str">
        <f>"クライアント名"&amp;BO$1</f>
        <v>クライアント名143</v>
      </c>
      <c r="BP44" s="11">
        <f ca="1">OFFSET(Gemini抽出データ!$A$1,BO43,2)</f>
        <v>0</v>
      </c>
      <c r="BQ44" s="11"/>
      <c r="BR44" s="10" t="str">
        <f>"クライアント名"&amp;BR$1</f>
        <v>クライアント名144</v>
      </c>
      <c r="BS44" s="11">
        <f ca="1">OFFSET(Gemini抽出データ!$A$1,BR43,2)</f>
        <v>0</v>
      </c>
      <c r="BT44" s="12"/>
      <c r="BU44" s="10" t="str">
        <f>"クライアント名"&amp;BU$1</f>
        <v>クライアント名169</v>
      </c>
      <c r="BV44" s="11">
        <f ca="1">OFFSET(Gemini抽出データ!$A$1,BU43,2)</f>
        <v>0</v>
      </c>
      <c r="BW44" s="11"/>
      <c r="BX44" s="10" t="str">
        <f>"クライアント名"&amp;BX$1</f>
        <v>クライアント名170</v>
      </c>
      <c r="BY44" s="11">
        <f ca="1">OFFSET(Gemini抽出データ!$A$1,BX43,2)</f>
        <v>0</v>
      </c>
      <c r="BZ44" s="12"/>
      <c r="CA44" s="13" t="str">
        <f>"クライアント名"&amp;CA$1</f>
        <v>クライアント名171</v>
      </c>
      <c r="CB44" s="11">
        <f ca="1">OFFSET(Gemini抽出データ!$A$1,CA43,2)</f>
        <v>0</v>
      </c>
      <c r="CC44" s="11"/>
      <c r="CD44" s="10" t="str">
        <f>"クライアント名"&amp;CD$1</f>
        <v>クライアント名172</v>
      </c>
      <c r="CE44" s="11">
        <f ca="1">OFFSET(Gemini抽出データ!$A$1,CD43,2)</f>
        <v>0</v>
      </c>
      <c r="CF44" s="12"/>
      <c r="CG44" s="10" t="str">
        <f>"クライアント名"&amp;CG$1</f>
        <v>クライアント名197</v>
      </c>
      <c r="CH44" s="11">
        <f ca="1">OFFSET(Gemini抽出データ!$A$1,CG43,2)</f>
        <v>0</v>
      </c>
      <c r="CI44" s="11"/>
      <c r="CJ44" s="10" t="str">
        <f>"クライアント名"&amp;CJ$1</f>
        <v>クライアント名198</v>
      </c>
      <c r="CK44" s="11">
        <f ca="1">OFFSET(Gemini抽出データ!$A$1,CJ43,2)</f>
        <v>0</v>
      </c>
      <c r="CL44" s="12"/>
      <c r="CM44" s="13" t="str">
        <f>"クライアント名"&amp;CM$1</f>
        <v>クライアント名199</v>
      </c>
      <c r="CN44" s="11">
        <f ca="1">OFFSET(Gemini抽出データ!$A$1,CM43,2)</f>
        <v>0</v>
      </c>
      <c r="CO44" s="11"/>
      <c r="CP44" s="10" t="str">
        <f>"クライアント名"&amp;CP$1</f>
        <v>クライアント名200</v>
      </c>
      <c r="CQ44" s="11">
        <f ca="1">OFFSET(Gemini抽出データ!$A$1,CP43,2)</f>
        <v>0</v>
      </c>
      <c r="CR44" s="12"/>
      <c r="CS44" s="10" t="str">
        <f>"クライアント名"&amp;CS$1</f>
        <v>クライアント名225</v>
      </c>
      <c r="CT44" s="11">
        <f ca="1">OFFSET(Gemini抽出データ!$A$1,CS43,2)</f>
        <v>0</v>
      </c>
      <c r="CU44" s="11"/>
      <c r="CV44" s="10" t="str">
        <f>"クライアント名"&amp;CV$1</f>
        <v>クライアント名226</v>
      </c>
      <c r="CW44" s="11">
        <f ca="1">OFFSET(Gemini抽出データ!$A$1,CV43,2)</f>
        <v>0</v>
      </c>
      <c r="CX44" s="12"/>
      <c r="CY44" s="13" t="str">
        <f>"クライアント名"&amp;CY$1</f>
        <v>クライアント名227</v>
      </c>
      <c r="CZ44" s="11">
        <f ca="1">OFFSET(Gemini抽出データ!$A$1,CY43,2)</f>
        <v>0</v>
      </c>
      <c r="DA44" s="11"/>
      <c r="DB44" s="10" t="str">
        <f>"クライアント名"&amp;DB$1</f>
        <v>クライアント名228</v>
      </c>
      <c r="DC44" s="11">
        <f ca="1">OFFSET(Gemini抽出データ!$A$1,DB43,2)</f>
        <v>0</v>
      </c>
      <c r="DD44" s="12"/>
      <c r="DE44" s="10" t="str">
        <f>"クライアント名"&amp;DE$1</f>
        <v>クライアント名253</v>
      </c>
      <c r="DF44" s="11">
        <f ca="1">OFFSET(Gemini抽出データ!$A$1,DE43,2)</f>
        <v>0</v>
      </c>
      <c r="DG44" s="11"/>
      <c r="DH44" s="10" t="str">
        <f>"クライアント名"&amp;DH$1</f>
        <v>クライアント名254</v>
      </c>
      <c r="DI44" s="11">
        <f ca="1">OFFSET(Gemini抽出データ!$A$1,DH43,2)</f>
        <v>0</v>
      </c>
      <c r="DJ44" s="12"/>
      <c r="DK44" s="13" t="str">
        <f>"クライアント名"&amp;DK$1</f>
        <v>クライアント名255</v>
      </c>
      <c r="DL44" s="11">
        <f ca="1">OFFSET(Gemini抽出データ!$A$1,DK43,2)</f>
        <v>0</v>
      </c>
      <c r="DM44" s="11"/>
      <c r="DN44" s="10" t="str">
        <f>"クライアント名"&amp;DN$1</f>
        <v>クライアント名256</v>
      </c>
      <c r="DO44" s="11">
        <f ca="1">OFFSET(Gemini抽出データ!$A$1,DN43,2)</f>
        <v>0</v>
      </c>
      <c r="DP44" s="12"/>
      <c r="DQ44" s="10" t="str">
        <f>"クライアント名"&amp;DQ$1</f>
        <v>クライアント名281</v>
      </c>
      <c r="DR44" s="11">
        <f ca="1">OFFSET(Gemini抽出データ!$A$1,DQ43,2)</f>
        <v>0</v>
      </c>
      <c r="DS44" s="11"/>
      <c r="DT44" s="10" t="str">
        <f>"クライアント名"&amp;DT$1</f>
        <v>クライアント名282</v>
      </c>
      <c r="DU44" s="11">
        <f ca="1">OFFSET(Gemini抽出データ!$A$1,DT43,2)</f>
        <v>0</v>
      </c>
      <c r="DV44" s="12"/>
      <c r="DW44" s="13" t="str">
        <f>"クライアント名"&amp;DW$1</f>
        <v>クライアント名283</v>
      </c>
      <c r="DX44" s="11">
        <f ca="1">OFFSET(Gemini抽出データ!$A$1,DW43,2)</f>
        <v>0</v>
      </c>
      <c r="DY44" s="11"/>
      <c r="DZ44" s="10" t="str">
        <f>"クライアント名"&amp;DZ$1</f>
        <v>クライアント名284</v>
      </c>
      <c r="EA44" s="11">
        <f ca="1">OFFSET(Gemini抽出データ!$A$1,DZ43,2)</f>
        <v>0</v>
      </c>
      <c r="EB44" s="12"/>
      <c r="EC44" s="10" t="str">
        <f>"クライアント名"&amp;EC$1</f>
        <v>クライアント名309</v>
      </c>
      <c r="ED44" s="11">
        <f ca="1">OFFSET(Gemini抽出データ!$A$1,EC43,2)</f>
        <v>0</v>
      </c>
      <c r="EE44" s="11"/>
      <c r="EF44" s="10" t="str">
        <f>"クライアント名"&amp;EF$1</f>
        <v>クライアント名310</v>
      </c>
      <c r="EG44" s="11">
        <f ca="1">OFFSET(Gemini抽出データ!$A$1,EF43,2)</f>
        <v>0</v>
      </c>
      <c r="EH44" s="12"/>
      <c r="EI44" s="13" t="str">
        <f>"クライアント名"&amp;EI$1</f>
        <v>クライアント名311</v>
      </c>
      <c r="EJ44" s="11">
        <f ca="1">OFFSET(Gemini抽出データ!$A$1,EI43,2)</f>
        <v>0</v>
      </c>
      <c r="EK44" s="11"/>
      <c r="EL44" s="10" t="str">
        <f>"クライアント名"&amp;EL$1</f>
        <v>クライアント名312</v>
      </c>
      <c r="EM44" s="11">
        <f ca="1">OFFSET(Gemini抽出データ!$A$1,EL43,2)</f>
        <v>0</v>
      </c>
      <c r="EN44" s="12"/>
      <c r="EO44" s="10" t="str">
        <f>"クライアント名"&amp;EO$1</f>
        <v>クライアント名337</v>
      </c>
      <c r="EP44" s="11">
        <f ca="1">OFFSET(Gemini抽出データ!$A$1,EO43,2)</f>
        <v>0</v>
      </c>
      <c r="EQ44" s="11"/>
      <c r="ER44" s="10" t="str">
        <f>"クライアント名"&amp;ER$1</f>
        <v>クライアント名338</v>
      </c>
      <c r="ES44" s="11">
        <f ca="1">OFFSET(Gemini抽出データ!$A$1,ER43,2)</f>
        <v>0</v>
      </c>
      <c r="ET44" s="12"/>
      <c r="EU44" s="13" t="str">
        <f>"クライアント名"&amp;EU$1</f>
        <v>クライアント名339</v>
      </c>
      <c r="EV44" s="11">
        <f ca="1">OFFSET(Gemini抽出データ!$A$1,EU43,2)</f>
        <v>0</v>
      </c>
      <c r="EW44" s="11"/>
      <c r="EX44" s="10" t="str">
        <f>"クライアント名"&amp;EX$1</f>
        <v>クライアント名340</v>
      </c>
      <c r="EY44" s="11">
        <f ca="1">OFFSET(Gemini抽出データ!$A$1,EX43,2)</f>
        <v>0</v>
      </c>
      <c r="EZ44" s="12"/>
      <c r="FA44" s="10" t="str">
        <f>"クライアント名"&amp;FA$1</f>
        <v>クライアント名365</v>
      </c>
      <c r="FB44" s="11">
        <f ca="1">OFFSET(Gemini抽出データ!$A$1,FA43,2)</f>
        <v>0</v>
      </c>
      <c r="FC44" s="11"/>
      <c r="FD44" s="10" t="str">
        <f>"クライアント名"&amp;FD$1</f>
        <v>クライアント名366</v>
      </c>
      <c r="FE44" s="11">
        <f ca="1">OFFSET(Gemini抽出データ!$A$1,FD43,2)</f>
        <v>0</v>
      </c>
      <c r="FF44" s="12"/>
      <c r="FG44" s="13" t="str">
        <f>"クライアント名"&amp;FG$1</f>
        <v>クライアント名367</v>
      </c>
      <c r="FH44" s="11">
        <f ca="1">OFFSET(Gemini抽出データ!$A$1,FG43,2)</f>
        <v>0</v>
      </c>
      <c r="FI44" s="11"/>
      <c r="FJ44" s="10" t="str">
        <f>"クライアント名"&amp;FJ$1</f>
        <v>クライアント名368</v>
      </c>
      <c r="FK44" s="11">
        <f ca="1">OFFSET(Gemini抽出データ!$A$1,FJ43,2)</f>
        <v>0</v>
      </c>
      <c r="FL44" s="12"/>
      <c r="FM44" s="10" t="str">
        <f>"クライアント名"&amp;FM$1</f>
        <v>クライアント名393</v>
      </c>
      <c r="FN44" s="11">
        <f ca="1">OFFSET(Gemini抽出データ!$A$1,FM43,2)</f>
        <v>0</v>
      </c>
      <c r="FO44" s="11"/>
      <c r="FP44" s="10" t="str">
        <f>"クライアント名"&amp;FP$1</f>
        <v>クライアント名394</v>
      </c>
      <c r="FQ44" s="11">
        <f ca="1">OFFSET(Gemini抽出データ!$A$1,FP43,2)</f>
        <v>0</v>
      </c>
      <c r="FR44" s="12"/>
      <c r="FS44" s="13" t="str">
        <f>"クライアント名"&amp;FS$1</f>
        <v>クライアント名395</v>
      </c>
      <c r="FT44" s="11">
        <f ca="1">OFFSET(Gemini抽出データ!$A$1,FS43,2)</f>
        <v>0</v>
      </c>
      <c r="FU44" s="11"/>
      <c r="FV44" s="10" t="str">
        <f>"クライアント名"&amp;FV$1</f>
        <v>クライアント名396</v>
      </c>
      <c r="FW44" s="11">
        <f ca="1">OFFSET(Gemini抽出データ!$A$1,FV43,2)</f>
        <v>0</v>
      </c>
      <c r="FX44" s="12"/>
      <c r="FY44" s="10" t="str">
        <f>"クライアント名"&amp;FY$1</f>
        <v>クライアント名421</v>
      </c>
      <c r="FZ44" s="11">
        <f ca="1">OFFSET(Gemini抽出データ!$A$1,FY43,2)</f>
        <v>0</v>
      </c>
      <c r="GA44" s="11"/>
      <c r="GB44" s="10" t="str">
        <f>"クライアント名"&amp;GB$1</f>
        <v>クライアント名422</v>
      </c>
      <c r="GC44" s="11">
        <f ca="1">OFFSET(Gemini抽出データ!$A$1,GB43,2)</f>
        <v>0</v>
      </c>
      <c r="GD44" s="12"/>
      <c r="GE44" s="13" t="str">
        <f>"クライアント名"&amp;GE$1</f>
        <v>クライアント名423</v>
      </c>
      <c r="GF44" s="11">
        <f ca="1">OFFSET(Gemini抽出データ!$A$1,GE43,2)</f>
        <v>0</v>
      </c>
      <c r="GG44" s="11"/>
      <c r="GH44" s="10" t="str">
        <f>"クライアント名"&amp;GH$1</f>
        <v>クライアント名424</v>
      </c>
      <c r="GI44" s="11">
        <f ca="1">OFFSET(Gemini抽出データ!$A$1,GH43,2)</f>
        <v>0</v>
      </c>
      <c r="GJ44" s="12"/>
      <c r="GK44" s="10" t="str">
        <f>"クライアント名"&amp;GK$1</f>
        <v>クライアント名449</v>
      </c>
      <c r="GL44" s="11">
        <f ca="1">OFFSET(Gemini抽出データ!$A$1,GK43,2)</f>
        <v>0</v>
      </c>
      <c r="GM44" s="11"/>
      <c r="GN44" s="10" t="str">
        <f>"クライアント名"&amp;GN$1</f>
        <v>クライアント名450</v>
      </c>
      <c r="GO44" s="11">
        <f ca="1">OFFSET(Gemini抽出データ!$A$1,GN43,2)</f>
        <v>0</v>
      </c>
      <c r="GP44" s="12"/>
      <c r="GQ44" s="13" t="str">
        <f>"クライアント名"&amp;GQ$1</f>
        <v>クライアント名451</v>
      </c>
      <c r="GR44" s="11">
        <f ca="1">OFFSET(Gemini抽出データ!$A$1,GQ43,2)</f>
        <v>0</v>
      </c>
      <c r="GS44" s="11"/>
      <c r="GT44" s="10" t="str">
        <f>"クライアント名"&amp;GT$1</f>
        <v>クライアント名452</v>
      </c>
      <c r="GU44" s="11">
        <f ca="1">OFFSET(Gemini抽出データ!$A$1,GT43,2)</f>
        <v>0</v>
      </c>
      <c r="GV44" s="12"/>
      <c r="GW44" s="10" t="str">
        <f>"クライアント名"&amp;GW$1</f>
        <v>クライアント名477</v>
      </c>
      <c r="GX44" s="11">
        <f ca="1">OFFSET(Gemini抽出データ!$A$1,GW43,2)</f>
        <v>0</v>
      </c>
      <c r="GY44" s="11"/>
      <c r="GZ44" s="10" t="str">
        <f>"クライアント名"&amp;GZ$1</f>
        <v>クライアント名478</v>
      </c>
      <c r="HA44" s="11">
        <f ca="1">OFFSET(Gemini抽出データ!$A$1,GZ43,2)</f>
        <v>0</v>
      </c>
      <c r="HB44" s="12"/>
      <c r="HC44" s="13" t="str">
        <f>"クライアント名"&amp;HC$1</f>
        <v>クライアント名479</v>
      </c>
      <c r="HD44" s="11">
        <f ca="1">OFFSET(Gemini抽出データ!$A$1,HC43,2)</f>
        <v>0</v>
      </c>
      <c r="HE44" s="11"/>
      <c r="HF44" s="10" t="str">
        <f>"クライアント名"&amp;HF$1</f>
        <v>クライアント名480</v>
      </c>
      <c r="HG44" s="11">
        <f ca="1">OFFSET(Gemini抽出データ!$A$1,HF43,2)</f>
        <v>0</v>
      </c>
      <c r="HH44" s="12"/>
      <c r="HI44" s="10" t="str">
        <f>"クライアント名"&amp;HI$1</f>
        <v>クライアント名505</v>
      </c>
      <c r="HJ44" s="11">
        <f ca="1">OFFSET(Gemini抽出データ!$A$1,HI43,2)</f>
        <v>0</v>
      </c>
      <c r="HK44" s="11"/>
      <c r="HL44" s="10" t="str">
        <f>"クライアント名"&amp;HL$1</f>
        <v>クライアント名506</v>
      </c>
      <c r="HM44" s="11">
        <f ca="1">OFFSET(Gemini抽出データ!$A$1,HL43,2)</f>
        <v>0</v>
      </c>
      <c r="HN44" s="12"/>
      <c r="HO44" s="13" t="str">
        <f>"クライアント名"&amp;HO$1</f>
        <v>クライアント名507</v>
      </c>
      <c r="HP44" s="11">
        <f ca="1">OFFSET(Gemini抽出データ!$A$1,HO43,2)</f>
        <v>0</v>
      </c>
      <c r="HQ44" s="11"/>
      <c r="HR44" s="10" t="str">
        <f>"クライアント名"&amp;HR$1</f>
        <v>クライアント名508</v>
      </c>
      <c r="HS44" s="11">
        <f ca="1">OFFSET(Gemini抽出データ!$A$1,HR43,2)</f>
        <v>0</v>
      </c>
      <c r="HT44" s="12"/>
      <c r="HU44" t="e">
        <f ca="1">OFFSET(Gemini抽出データ!$A$1,#REF!,2)</f>
        <v>#REF!</v>
      </c>
    </row>
    <row r="45" spans="1:230" ht="17.100000000000001" customHeight="1" x14ac:dyDescent="0.45">
      <c r="A45" s="10" t="str">
        <f>"種類"&amp;A$1</f>
        <v>種類1</v>
      </c>
      <c r="B45" s="25" t="str">
        <f ca="1">IF(OFFSET(Gemini抽出データ!$A$1,A43,1)=0,"",OFFSET(Gemini抽出データ!$A$1,A43,1))</f>
        <v/>
      </c>
      <c r="C45" s="26"/>
      <c r="D45" s="30" t="str">
        <f>"学年"&amp;D$1</f>
        <v>学年2</v>
      </c>
      <c r="E45" s="25" t="str">
        <f ca="1">IF(OFFSET(Gemini抽出データ!$A$1,D43,1)=0,"",OFFSET(Gemini抽出データ!$A$1,D43,1))</f>
        <v/>
      </c>
      <c r="F45" s="27"/>
      <c r="G45" s="31" t="str">
        <f>"学年"&amp;G$1</f>
        <v>学年3</v>
      </c>
      <c r="H45" s="25" t="str">
        <f ca="1">IF(OFFSET(Gemini抽出データ!$A$1,G43,1)=0,"",OFFSET(Gemini抽出データ!$A$1,G43,1))</f>
        <v/>
      </c>
      <c r="I45" s="26"/>
      <c r="J45" s="30" t="str">
        <f>"学年"&amp;J$1</f>
        <v>学年4</v>
      </c>
      <c r="K45" s="25" t="str">
        <f ca="1">IF(OFFSET(Gemini抽出データ!$A$1,J43,1)=0,"",OFFSET(Gemini抽出データ!$A$1,J43,1))</f>
        <v/>
      </c>
      <c r="L45" s="27"/>
      <c r="M45" s="10" t="str">
        <f>"種類"&amp;M$1</f>
        <v>種類29</v>
      </c>
      <c r="N45" s="25" t="str">
        <f ca="1">IF(OFFSET(Gemini抽出データ!$A$1,M43,1)=0,"",OFFSET(Gemini抽出データ!$A$1,M43,1))</f>
        <v/>
      </c>
      <c r="O45" s="26"/>
      <c r="P45" s="30" t="str">
        <f>"学年"&amp;P$1</f>
        <v>学年30</v>
      </c>
      <c r="Q45" s="25" t="str">
        <f ca="1">IF(OFFSET(Gemini抽出データ!$A$1,P43,1)=0,"",OFFSET(Gemini抽出データ!$A$1,P43,1))</f>
        <v/>
      </c>
      <c r="R45" s="27"/>
      <c r="S45" s="31" t="str">
        <f>"学年"&amp;S$1</f>
        <v>学年31</v>
      </c>
      <c r="T45" s="25" t="str">
        <f ca="1">IF(OFFSET(Gemini抽出データ!$A$1,S43,1)=0,"",OFFSET(Gemini抽出データ!$A$1,S43,1))</f>
        <v/>
      </c>
      <c r="U45" s="26"/>
      <c r="V45" s="30" t="str">
        <f>"学年"&amp;V$1</f>
        <v>学年32</v>
      </c>
      <c r="W45" s="25" t="str">
        <f ca="1">IF(OFFSET(Gemini抽出データ!$A$1,V43,1)=0,"",OFFSET(Gemini抽出データ!$A$1,V43,1))</f>
        <v/>
      </c>
      <c r="X45" s="27"/>
      <c r="Y45" s="10" t="str">
        <f>"種類"&amp;Y$1</f>
        <v>種類57</v>
      </c>
      <c r="Z45" s="25" t="str">
        <f ca="1">IF(OFFSET(Gemini抽出データ!$A$1,Y43,1)=0,"",OFFSET(Gemini抽出データ!$A$1,Y43,1))</f>
        <v/>
      </c>
      <c r="AA45" s="26"/>
      <c r="AB45" s="30" t="str">
        <f>"学年"&amp;AB$1</f>
        <v>学年58</v>
      </c>
      <c r="AC45" s="25" t="str">
        <f ca="1">IF(OFFSET(Gemini抽出データ!$A$1,AB43,1)=0,"",OFFSET(Gemini抽出データ!$A$1,AB43,1))</f>
        <v/>
      </c>
      <c r="AD45" s="27"/>
      <c r="AE45" s="31" t="str">
        <f>"学年"&amp;AE$1</f>
        <v>学年59</v>
      </c>
      <c r="AF45" s="25" t="str">
        <f ca="1">IF(OFFSET(Gemini抽出データ!$A$1,AE43,1)=0,"",OFFSET(Gemini抽出データ!$A$1,AE43,1))</f>
        <v/>
      </c>
      <c r="AG45" s="26"/>
      <c r="AH45" s="30" t="str">
        <f>"学年"&amp;AH$1</f>
        <v>学年60</v>
      </c>
      <c r="AI45" s="25" t="str">
        <f ca="1">IF(OFFSET(Gemini抽出データ!$A$1,AH43,1)=0,"",OFFSET(Gemini抽出データ!$A$1,AH43,1))</f>
        <v/>
      </c>
      <c r="AJ45" s="27"/>
      <c r="AK45" s="10" t="str">
        <f>"種類"&amp;AK$1</f>
        <v>種類85</v>
      </c>
      <c r="AL45" s="25" t="str">
        <f ca="1">IF(OFFSET(Gemini抽出データ!$A$1,AK43,1)=0,"",OFFSET(Gemini抽出データ!$A$1,AK43,1))</f>
        <v/>
      </c>
      <c r="AM45" s="26"/>
      <c r="AN45" s="30" t="str">
        <f>"学年"&amp;AN$1</f>
        <v>学年86</v>
      </c>
      <c r="AO45" s="25" t="str">
        <f ca="1">IF(OFFSET(Gemini抽出データ!$A$1,AN43,1)=0,"",OFFSET(Gemini抽出データ!$A$1,AN43,1))</f>
        <v/>
      </c>
      <c r="AP45" s="27"/>
      <c r="AQ45" s="31" t="str">
        <f>"学年"&amp;AQ$1</f>
        <v>学年87</v>
      </c>
      <c r="AR45" s="25" t="str">
        <f ca="1">IF(OFFSET(Gemini抽出データ!$A$1,AQ43,1)=0,"",OFFSET(Gemini抽出データ!$A$1,AQ43,1))</f>
        <v/>
      </c>
      <c r="AS45" s="26"/>
      <c r="AT45" s="30" t="str">
        <f>"学年"&amp;AT$1</f>
        <v>学年88</v>
      </c>
      <c r="AU45" s="25" t="str">
        <f ca="1">IF(OFFSET(Gemini抽出データ!$A$1,AT43,1)=0,"",OFFSET(Gemini抽出データ!$A$1,AT43,1))</f>
        <v/>
      </c>
      <c r="AV45" s="27"/>
      <c r="AW45" s="10" t="str">
        <f>"種類"&amp;AW$1</f>
        <v>種類113</v>
      </c>
      <c r="AX45" s="25" t="str">
        <f ca="1">IF(OFFSET(Gemini抽出データ!$A$1,AW43,1)=0,"",OFFSET(Gemini抽出データ!$A$1,AW43,1))</f>
        <v/>
      </c>
      <c r="AY45" s="26"/>
      <c r="AZ45" s="30" t="str">
        <f>"学年"&amp;AZ$1</f>
        <v>学年114</v>
      </c>
      <c r="BA45" s="25" t="str">
        <f ca="1">IF(OFFSET(Gemini抽出データ!$A$1,AZ43,1)=0,"",OFFSET(Gemini抽出データ!$A$1,AZ43,1))</f>
        <v/>
      </c>
      <c r="BB45" s="27"/>
      <c r="BC45" s="31" t="str">
        <f>"学年"&amp;BC$1</f>
        <v>学年115</v>
      </c>
      <c r="BD45" s="25" t="str">
        <f ca="1">IF(OFFSET(Gemini抽出データ!$A$1,BC43,1)=0,"",OFFSET(Gemini抽出データ!$A$1,BC43,1))</f>
        <v/>
      </c>
      <c r="BE45" s="26"/>
      <c r="BF45" s="30" t="str">
        <f>"学年"&amp;BF$1</f>
        <v>学年116</v>
      </c>
      <c r="BG45" s="25" t="str">
        <f ca="1">IF(OFFSET(Gemini抽出データ!$A$1,BF43,1)=0,"",OFFSET(Gemini抽出データ!$A$1,BF43,1))</f>
        <v/>
      </c>
      <c r="BH45" s="27"/>
      <c r="BI45" s="10" t="str">
        <f>"種類"&amp;BI$1</f>
        <v>種類141</v>
      </c>
      <c r="BJ45" s="25" t="str">
        <f ca="1">IF(OFFSET(Gemini抽出データ!$A$1,BI43,1)=0,"",OFFSET(Gemini抽出データ!$A$1,BI43,1))</f>
        <v/>
      </c>
      <c r="BK45" s="26"/>
      <c r="BL45" s="30" t="str">
        <f>"学年"&amp;BL$1</f>
        <v>学年142</v>
      </c>
      <c r="BM45" s="25" t="str">
        <f ca="1">IF(OFFSET(Gemini抽出データ!$A$1,BL43,1)=0,"",OFFSET(Gemini抽出データ!$A$1,BL43,1))</f>
        <v/>
      </c>
      <c r="BN45" s="27"/>
      <c r="BO45" s="31" t="str">
        <f>"学年"&amp;BO$1</f>
        <v>学年143</v>
      </c>
      <c r="BP45" s="25" t="str">
        <f ca="1">IF(OFFSET(Gemini抽出データ!$A$1,BO43,1)=0,"",OFFSET(Gemini抽出データ!$A$1,BO43,1))</f>
        <v/>
      </c>
      <c r="BQ45" s="26"/>
      <c r="BR45" s="30" t="str">
        <f>"学年"&amp;BR$1</f>
        <v>学年144</v>
      </c>
      <c r="BS45" s="25" t="str">
        <f ca="1">IF(OFFSET(Gemini抽出データ!$A$1,BR43,1)=0,"",OFFSET(Gemini抽出データ!$A$1,BR43,1))</f>
        <v/>
      </c>
      <c r="BT45" s="27"/>
      <c r="BU45" s="10" t="str">
        <f>"種類"&amp;BU$1</f>
        <v>種類169</v>
      </c>
      <c r="BV45" s="25" t="str">
        <f ca="1">IF(OFFSET(Gemini抽出データ!$A$1,BU43,1)=0,"",OFFSET(Gemini抽出データ!$A$1,BU43,1))</f>
        <v/>
      </c>
      <c r="BW45" s="26"/>
      <c r="BX45" s="30" t="str">
        <f>"学年"&amp;BX$1</f>
        <v>学年170</v>
      </c>
      <c r="BY45" s="25" t="str">
        <f ca="1">IF(OFFSET(Gemini抽出データ!$A$1,BX43,1)=0,"",OFFSET(Gemini抽出データ!$A$1,BX43,1))</f>
        <v/>
      </c>
      <c r="BZ45" s="27"/>
      <c r="CA45" s="31" t="str">
        <f>"学年"&amp;CA$1</f>
        <v>学年171</v>
      </c>
      <c r="CB45" s="25" t="str">
        <f ca="1">IF(OFFSET(Gemini抽出データ!$A$1,CA43,1)=0,"",OFFSET(Gemini抽出データ!$A$1,CA43,1))</f>
        <v/>
      </c>
      <c r="CC45" s="26"/>
      <c r="CD45" s="30" t="str">
        <f>"学年"&amp;CD$1</f>
        <v>学年172</v>
      </c>
      <c r="CE45" s="25" t="str">
        <f ca="1">IF(OFFSET(Gemini抽出データ!$A$1,CD43,1)=0,"",OFFSET(Gemini抽出データ!$A$1,CD43,1))</f>
        <v/>
      </c>
      <c r="CF45" s="27"/>
      <c r="CG45" s="10" t="str">
        <f>"種類"&amp;CG$1</f>
        <v>種類197</v>
      </c>
      <c r="CH45" s="25" t="str">
        <f ca="1">IF(OFFSET(Gemini抽出データ!$A$1,CG43,1)=0,"",OFFSET(Gemini抽出データ!$A$1,CG43,1))</f>
        <v/>
      </c>
      <c r="CI45" s="26"/>
      <c r="CJ45" s="30" t="str">
        <f>"学年"&amp;CJ$1</f>
        <v>学年198</v>
      </c>
      <c r="CK45" s="25" t="str">
        <f ca="1">IF(OFFSET(Gemini抽出データ!$A$1,CJ43,1)=0,"",OFFSET(Gemini抽出データ!$A$1,CJ43,1))</f>
        <v/>
      </c>
      <c r="CL45" s="27"/>
      <c r="CM45" s="31" t="str">
        <f>"学年"&amp;CM$1</f>
        <v>学年199</v>
      </c>
      <c r="CN45" s="25" t="str">
        <f ca="1">IF(OFFSET(Gemini抽出データ!$A$1,CM43,1)=0,"",OFFSET(Gemini抽出データ!$A$1,CM43,1))</f>
        <v/>
      </c>
      <c r="CO45" s="26"/>
      <c r="CP45" s="30" t="str">
        <f>"学年"&amp;CP$1</f>
        <v>学年200</v>
      </c>
      <c r="CQ45" s="25" t="str">
        <f ca="1">IF(OFFSET(Gemini抽出データ!$A$1,CP43,1)=0,"",OFFSET(Gemini抽出データ!$A$1,CP43,1))</f>
        <v/>
      </c>
      <c r="CR45" s="27"/>
      <c r="CS45" s="10" t="str">
        <f>"種類"&amp;CS$1</f>
        <v>種類225</v>
      </c>
      <c r="CT45" s="25" t="str">
        <f ca="1">IF(OFFSET(Gemini抽出データ!$A$1,CS43,1)=0,"",OFFSET(Gemini抽出データ!$A$1,CS43,1))</f>
        <v/>
      </c>
      <c r="CU45" s="26"/>
      <c r="CV45" s="30" t="str">
        <f>"学年"&amp;CV$1</f>
        <v>学年226</v>
      </c>
      <c r="CW45" s="25" t="str">
        <f ca="1">IF(OFFSET(Gemini抽出データ!$A$1,CV43,1)=0,"",OFFSET(Gemini抽出データ!$A$1,CV43,1))</f>
        <v/>
      </c>
      <c r="CX45" s="27"/>
      <c r="CY45" s="31" t="str">
        <f>"学年"&amp;CY$1</f>
        <v>学年227</v>
      </c>
      <c r="CZ45" s="25" t="str">
        <f ca="1">IF(OFFSET(Gemini抽出データ!$A$1,CY43,1)=0,"",OFFSET(Gemini抽出データ!$A$1,CY43,1))</f>
        <v/>
      </c>
      <c r="DA45" s="26"/>
      <c r="DB45" s="30" t="str">
        <f>"学年"&amp;DB$1</f>
        <v>学年228</v>
      </c>
      <c r="DC45" s="25" t="str">
        <f ca="1">IF(OFFSET(Gemini抽出データ!$A$1,DB43,1)=0,"",OFFSET(Gemini抽出データ!$A$1,DB43,1))</f>
        <v/>
      </c>
      <c r="DD45" s="27"/>
      <c r="DE45" s="10" t="str">
        <f>"種類"&amp;DE$1</f>
        <v>種類253</v>
      </c>
      <c r="DF45" s="25" t="str">
        <f ca="1">IF(OFFSET(Gemini抽出データ!$A$1,DE43,1)=0,"",OFFSET(Gemini抽出データ!$A$1,DE43,1))</f>
        <v/>
      </c>
      <c r="DG45" s="26"/>
      <c r="DH45" s="30" t="str">
        <f>"学年"&amp;DH$1</f>
        <v>学年254</v>
      </c>
      <c r="DI45" s="25" t="str">
        <f ca="1">IF(OFFSET(Gemini抽出データ!$A$1,DH43,1)=0,"",OFFSET(Gemini抽出データ!$A$1,DH43,1))</f>
        <v/>
      </c>
      <c r="DJ45" s="27"/>
      <c r="DK45" s="31" t="str">
        <f>"学年"&amp;DK$1</f>
        <v>学年255</v>
      </c>
      <c r="DL45" s="25" t="str">
        <f ca="1">IF(OFFSET(Gemini抽出データ!$A$1,DK43,1)=0,"",OFFSET(Gemini抽出データ!$A$1,DK43,1))</f>
        <v/>
      </c>
      <c r="DM45" s="26"/>
      <c r="DN45" s="30" t="str">
        <f>"学年"&amp;DN$1</f>
        <v>学年256</v>
      </c>
      <c r="DO45" s="25" t="str">
        <f ca="1">IF(OFFSET(Gemini抽出データ!$A$1,DN43,1)=0,"",OFFSET(Gemini抽出データ!$A$1,DN43,1))</f>
        <v/>
      </c>
      <c r="DP45" s="27"/>
      <c r="DQ45" s="10" t="str">
        <f>"種類"&amp;DQ$1</f>
        <v>種類281</v>
      </c>
      <c r="DR45" s="25" t="str">
        <f ca="1">IF(OFFSET(Gemini抽出データ!$A$1,DQ43,1)=0,"",OFFSET(Gemini抽出データ!$A$1,DQ43,1))</f>
        <v/>
      </c>
      <c r="DS45" s="26"/>
      <c r="DT45" s="30" t="str">
        <f>"学年"&amp;DT$1</f>
        <v>学年282</v>
      </c>
      <c r="DU45" s="25" t="str">
        <f ca="1">IF(OFFSET(Gemini抽出データ!$A$1,DT43,1)=0,"",OFFSET(Gemini抽出データ!$A$1,DT43,1))</f>
        <v/>
      </c>
      <c r="DV45" s="27"/>
      <c r="DW45" s="31" t="str">
        <f>"学年"&amp;DW$1</f>
        <v>学年283</v>
      </c>
      <c r="DX45" s="25" t="str">
        <f ca="1">IF(OFFSET(Gemini抽出データ!$A$1,DW43,1)=0,"",OFFSET(Gemini抽出データ!$A$1,DW43,1))</f>
        <v/>
      </c>
      <c r="DY45" s="26"/>
      <c r="DZ45" s="30" t="str">
        <f>"学年"&amp;DZ$1</f>
        <v>学年284</v>
      </c>
      <c r="EA45" s="25" t="str">
        <f ca="1">IF(OFFSET(Gemini抽出データ!$A$1,DZ43,1)=0,"",OFFSET(Gemini抽出データ!$A$1,DZ43,1))</f>
        <v/>
      </c>
      <c r="EB45" s="27"/>
      <c r="EC45" s="10" t="str">
        <f>"種類"&amp;EC$1</f>
        <v>種類309</v>
      </c>
      <c r="ED45" s="25" t="str">
        <f ca="1">IF(OFFSET(Gemini抽出データ!$A$1,EC43,1)=0,"",OFFSET(Gemini抽出データ!$A$1,EC43,1))</f>
        <v/>
      </c>
      <c r="EE45" s="26"/>
      <c r="EF45" s="30" t="str">
        <f>"学年"&amp;EF$1</f>
        <v>学年310</v>
      </c>
      <c r="EG45" s="25" t="str">
        <f ca="1">IF(OFFSET(Gemini抽出データ!$A$1,EF43,1)=0,"",OFFSET(Gemini抽出データ!$A$1,EF43,1))</f>
        <v/>
      </c>
      <c r="EH45" s="27"/>
      <c r="EI45" s="31" t="str">
        <f>"学年"&amp;EI$1</f>
        <v>学年311</v>
      </c>
      <c r="EJ45" s="25" t="str">
        <f ca="1">IF(OFFSET(Gemini抽出データ!$A$1,EI43,1)=0,"",OFFSET(Gemini抽出データ!$A$1,EI43,1))</f>
        <v/>
      </c>
      <c r="EK45" s="26"/>
      <c r="EL45" s="30" t="str">
        <f>"学年"&amp;EL$1</f>
        <v>学年312</v>
      </c>
      <c r="EM45" s="25" t="str">
        <f ca="1">IF(OFFSET(Gemini抽出データ!$A$1,EL43,1)=0,"",OFFSET(Gemini抽出データ!$A$1,EL43,1))</f>
        <v/>
      </c>
      <c r="EN45" s="27"/>
      <c r="EO45" s="10" t="str">
        <f>"種類"&amp;EO$1</f>
        <v>種類337</v>
      </c>
      <c r="EP45" s="25" t="str">
        <f ca="1">IF(OFFSET(Gemini抽出データ!$A$1,EO43,1)=0,"",OFFSET(Gemini抽出データ!$A$1,EO43,1))</f>
        <v/>
      </c>
      <c r="EQ45" s="26"/>
      <c r="ER45" s="30" t="str">
        <f>"学年"&amp;ER$1</f>
        <v>学年338</v>
      </c>
      <c r="ES45" s="25" t="str">
        <f ca="1">IF(OFFSET(Gemini抽出データ!$A$1,ER43,1)=0,"",OFFSET(Gemini抽出データ!$A$1,ER43,1))</f>
        <v/>
      </c>
      <c r="ET45" s="27"/>
      <c r="EU45" s="31" t="str">
        <f>"学年"&amp;EU$1</f>
        <v>学年339</v>
      </c>
      <c r="EV45" s="25" t="str">
        <f ca="1">IF(OFFSET(Gemini抽出データ!$A$1,EU43,1)=0,"",OFFSET(Gemini抽出データ!$A$1,EU43,1))</f>
        <v/>
      </c>
      <c r="EW45" s="26"/>
      <c r="EX45" s="30" t="str">
        <f>"学年"&amp;EX$1</f>
        <v>学年340</v>
      </c>
      <c r="EY45" s="25" t="str">
        <f ca="1">IF(OFFSET(Gemini抽出データ!$A$1,EX43,1)=0,"",OFFSET(Gemini抽出データ!$A$1,EX43,1))</f>
        <v/>
      </c>
      <c r="EZ45" s="27"/>
      <c r="FA45" s="10" t="str">
        <f>"種類"&amp;FA$1</f>
        <v>種類365</v>
      </c>
      <c r="FB45" s="25" t="str">
        <f ca="1">IF(OFFSET(Gemini抽出データ!$A$1,FA43,1)=0,"",OFFSET(Gemini抽出データ!$A$1,FA43,1))</f>
        <v/>
      </c>
      <c r="FC45" s="26"/>
      <c r="FD45" s="30" t="str">
        <f>"学年"&amp;FD$1</f>
        <v>学年366</v>
      </c>
      <c r="FE45" s="25" t="str">
        <f ca="1">IF(OFFSET(Gemini抽出データ!$A$1,FD43,1)=0,"",OFFSET(Gemini抽出データ!$A$1,FD43,1))</f>
        <v/>
      </c>
      <c r="FF45" s="27"/>
      <c r="FG45" s="31" t="str">
        <f>"学年"&amp;FG$1</f>
        <v>学年367</v>
      </c>
      <c r="FH45" s="25" t="str">
        <f ca="1">IF(OFFSET(Gemini抽出データ!$A$1,FG43,1)=0,"",OFFSET(Gemini抽出データ!$A$1,FG43,1))</f>
        <v/>
      </c>
      <c r="FI45" s="26"/>
      <c r="FJ45" s="30" t="str">
        <f>"学年"&amp;FJ$1</f>
        <v>学年368</v>
      </c>
      <c r="FK45" s="25" t="str">
        <f ca="1">IF(OFFSET(Gemini抽出データ!$A$1,FJ43,1)=0,"",OFFSET(Gemini抽出データ!$A$1,FJ43,1))</f>
        <v/>
      </c>
      <c r="FL45" s="27"/>
      <c r="FM45" s="10" t="str">
        <f>"種類"&amp;FM$1</f>
        <v>種類393</v>
      </c>
      <c r="FN45" s="25" t="str">
        <f ca="1">IF(OFFSET(Gemini抽出データ!$A$1,FM43,1)=0,"",OFFSET(Gemini抽出データ!$A$1,FM43,1))</f>
        <v/>
      </c>
      <c r="FO45" s="26"/>
      <c r="FP45" s="30" t="str">
        <f>"学年"&amp;FP$1</f>
        <v>学年394</v>
      </c>
      <c r="FQ45" s="25" t="str">
        <f ca="1">IF(OFFSET(Gemini抽出データ!$A$1,FP43,1)=0,"",OFFSET(Gemini抽出データ!$A$1,FP43,1))</f>
        <v/>
      </c>
      <c r="FR45" s="27"/>
      <c r="FS45" s="31" t="str">
        <f>"学年"&amp;FS$1</f>
        <v>学年395</v>
      </c>
      <c r="FT45" s="25" t="str">
        <f ca="1">IF(OFFSET(Gemini抽出データ!$A$1,FS43,1)=0,"",OFFSET(Gemini抽出データ!$A$1,FS43,1))</f>
        <v/>
      </c>
      <c r="FU45" s="26"/>
      <c r="FV45" s="30" t="str">
        <f>"学年"&amp;FV$1</f>
        <v>学年396</v>
      </c>
      <c r="FW45" s="25" t="str">
        <f ca="1">IF(OFFSET(Gemini抽出データ!$A$1,FV43,1)=0,"",OFFSET(Gemini抽出データ!$A$1,FV43,1))</f>
        <v/>
      </c>
      <c r="FX45" s="27"/>
      <c r="FY45" s="10" t="str">
        <f>"種類"&amp;FY$1</f>
        <v>種類421</v>
      </c>
      <c r="FZ45" s="25" t="str">
        <f ca="1">IF(OFFSET(Gemini抽出データ!$A$1,FY43,1)=0,"",OFFSET(Gemini抽出データ!$A$1,FY43,1))</f>
        <v/>
      </c>
      <c r="GA45" s="26"/>
      <c r="GB45" s="30" t="str">
        <f>"学年"&amp;GB$1</f>
        <v>学年422</v>
      </c>
      <c r="GC45" s="25" t="str">
        <f ca="1">IF(OFFSET(Gemini抽出データ!$A$1,GB43,1)=0,"",OFFSET(Gemini抽出データ!$A$1,GB43,1))</f>
        <v/>
      </c>
      <c r="GD45" s="27"/>
      <c r="GE45" s="31" t="str">
        <f>"学年"&amp;GE$1</f>
        <v>学年423</v>
      </c>
      <c r="GF45" s="25" t="str">
        <f ca="1">IF(OFFSET(Gemini抽出データ!$A$1,GE43,1)=0,"",OFFSET(Gemini抽出データ!$A$1,GE43,1))</f>
        <v/>
      </c>
      <c r="GG45" s="26"/>
      <c r="GH45" s="30" t="str">
        <f>"学年"&amp;GH$1</f>
        <v>学年424</v>
      </c>
      <c r="GI45" s="25" t="str">
        <f ca="1">IF(OFFSET(Gemini抽出データ!$A$1,GH43,1)=0,"",OFFSET(Gemini抽出データ!$A$1,GH43,1))</f>
        <v/>
      </c>
      <c r="GJ45" s="27"/>
      <c r="GK45" s="10" t="str">
        <f>"種類"&amp;GK$1</f>
        <v>種類449</v>
      </c>
      <c r="GL45" s="25" t="str">
        <f ca="1">IF(OFFSET(Gemini抽出データ!$A$1,GK43,1)=0,"",OFFSET(Gemini抽出データ!$A$1,GK43,1))</f>
        <v/>
      </c>
      <c r="GM45" s="26"/>
      <c r="GN45" s="30" t="str">
        <f>"学年"&amp;GN$1</f>
        <v>学年450</v>
      </c>
      <c r="GO45" s="25" t="str">
        <f ca="1">IF(OFFSET(Gemini抽出データ!$A$1,GN43,1)=0,"",OFFSET(Gemini抽出データ!$A$1,GN43,1))</f>
        <v/>
      </c>
      <c r="GP45" s="27"/>
      <c r="GQ45" s="31" t="str">
        <f>"学年"&amp;GQ$1</f>
        <v>学年451</v>
      </c>
      <c r="GR45" s="25" t="str">
        <f ca="1">IF(OFFSET(Gemini抽出データ!$A$1,GQ43,1)=0,"",OFFSET(Gemini抽出データ!$A$1,GQ43,1))</f>
        <v/>
      </c>
      <c r="GS45" s="26"/>
      <c r="GT45" s="30" t="str">
        <f>"学年"&amp;GT$1</f>
        <v>学年452</v>
      </c>
      <c r="GU45" s="25" t="str">
        <f ca="1">IF(OFFSET(Gemini抽出データ!$A$1,GT43,1)=0,"",OFFSET(Gemini抽出データ!$A$1,GT43,1))</f>
        <v/>
      </c>
      <c r="GV45" s="27"/>
      <c r="GW45" s="10" t="str">
        <f>"種類"&amp;GW$1</f>
        <v>種類477</v>
      </c>
      <c r="GX45" s="25" t="str">
        <f ca="1">IF(OFFSET(Gemini抽出データ!$A$1,GW43,1)=0,"",OFFSET(Gemini抽出データ!$A$1,GW43,1))</f>
        <v/>
      </c>
      <c r="GY45" s="26"/>
      <c r="GZ45" s="30" t="str">
        <f>"学年"&amp;GZ$1</f>
        <v>学年478</v>
      </c>
      <c r="HA45" s="25" t="str">
        <f ca="1">IF(OFFSET(Gemini抽出データ!$A$1,GZ43,1)=0,"",OFFSET(Gemini抽出データ!$A$1,GZ43,1))</f>
        <v/>
      </c>
      <c r="HB45" s="27"/>
      <c r="HC45" s="31" t="str">
        <f>"学年"&amp;HC$1</f>
        <v>学年479</v>
      </c>
      <c r="HD45" s="25" t="str">
        <f ca="1">IF(OFFSET(Gemini抽出データ!$A$1,HC43,1)=0,"",OFFSET(Gemini抽出データ!$A$1,HC43,1))</f>
        <v/>
      </c>
      <c r="HE45" s="26"/>
      <c r="HF45" s="30" t="str">
        <f>"学年"&amp;HF$1</f>
        <v>学年480</v>
      </c>
      <c r="HG45" s="25" t="str">
        <f ca="1">IF(OFFSET(Gemini抽出データ!$A$1,HF43,1)=0,"",OFFSET(Gemini抽出データ!$A$1,HF43,1))</f>
        <v/>
      </c>
      <c r="HH45" s="27"/>
      <c r="HI45" s="10" t="str">
        <f>"種類"&amp;HI$1</f>
        <v>種類505</v>
      </c>
      <c r="HJ45" s="25" t="str">
        <f ca="1">IF(OFFSET(Gemini抽出データ!$A$1,HI43,1)=0,"",OFFSET(Gemini抽出データ!$A$1,HI43,1))</f>
        <v/>
      </c>
      <c r="HK45" s="26"/>
      <c r="HL45" s="30" t="str">
        <f>"学年"&amp;HL$1</f>
        <v>学年506</v>
      </c>
      <c r="HM45" s="25" t="str">
        <f ca="1">IF(OFFSET(Gemini抽出データ!$A$1,HL43,1)=0,"",OFFSET(Gemini抽出データ!$A$1,HL43,1))</f>
        <v/>
      </c>
      <c r="HN45" s="27"/>
      <c r="HO45" s="31" t="str">
        <f>"学年"&amp;HO$1</f>
        <v>学年507</v>
      </c>
      <c r="HP45" s="25" t="str">
        <f ca="1">IF(OFFSET(Gemini抽出データ!$A$1,HO43,1)=0,"",OFFSET(Gemini抽出データ!$A$1,HO43,1))</f>
        <v/>
      </c>
      <c r="HQ45" s="26"/>
      <c r="HR45" s="30" t="str">
        <f>"学年"&amp;HR$1</f>
        <v>学年508</v>
      </c>
      <c r="HS45" s="25" t="str">
        <f ca="1">IF(OFFSET(Gemini抽出データ!$A$1,HR43,1)=0,"",OFFSET(Gemini抽出データ!$A$1,HR43,1))</f>
        <v/>
      </c>
      <c r="HT45" s="27"/>
      <c r="HU45" s="2" t="e">
        <f ca="1">IF(OFFSET(Gemini抽出データ!$A$1,#REF!,1)=0,"",OFFSET(Gemini抽出データ!$A$1,#REF!,1))</f>
        <v>#REF!</v>
      </c>
      <c r="HV45" s="3"/>
    </row>
    <row r="46" spans="1:230" ht="17.100000000000001" customHeight="1" x14ac:dyDescent="0.45">
      <c r="A46" s="10" t="str">
        <f>"学年"&amp;A$1</f>
        <v>学年1</v>
      </c>
      <c r="B46" s="26"/>
      <c r="C46" s="26"/>
      <c r="D46" s="30"/>
      <c r="E46" s="26"/>
      <c r="F46" s="27"/>
      <c r="G46" s="31"/>
      <c r="H46" s="26"/>
      <c r="I46" s="26"/>
      <c r="J46" s="30"/>
      <c r="K46" s="26"/>
      <c r="L46" s="27"/>
      <c r="M46" s="10" t="str">
        <f>"学年"&amp;M$1</f>
        <v>学年29</v>
      </c>
      <c r="N46" s="26"/>
      <c r="O46" s="26"/>
      <c r="P46" s="30"/>
      <c r="Q46" s="26"/>
      <c r="R46" s="27"/>
      <c r="S46" s="31"/>
      <c r="T46" s="26"/>
      <c r="U46" s="26"/>
      <c r="V46" s="30"/>
      <c r="W46" s="26"/>
      <c r="X46" s="27"/>
      <c r="Y46" s="10" t="str">
        <f>"学年"&amp;Y$1</f>
        <v>学年57</v>
      </c>
      <c r="Z46" s="26"/>
      <c r="AA46" s="26"/>
      <c r="AB46" s="30"/>
      <c r="AC46" s="26"/>
      <c r="AD46" s="27"/>
      <c r="AE46" s="31"/>
      <c r="AF46" s="26"/>
      <c r="AG46" s="26"/>
      <c r="AH46" s="30"/>
      <c r="AI46" s="26"/>
      <c r="AJ46" s="27"/>
      <c r="AK46" s="10" t="str">
        <f>"学年"&amp;AK$1</f>
        <v>学年85</v>
      </c>
      <c r="AL46" s="26"/>
      <c r="AM46" s="26"/>
      <c r="AN46" s="30"/>
      <c r="AO46" s="26"/>
      <c r="AP46" s="27"/>
      <c r="AQ46" s="31"/>
      <c r="AR46" s="26"/>
      <c r="AS46" s="26"/>
      <c r="AT46" s="30"/>
      <c r="AU46" s="26"/>
      <c r="AV46" s="27"/>
      <c r="AW46" s="10" t="str">
        <f>"学年"&amp;AW$1</f>
        <v>学年113</v>
      </c>
      <c r="AX46" s="26"/>
      <c r="AY46" s="26"/>
      <c r="AZ46" s="30"/>
      <c r="BA46" s="26"/>
      <c r="BB46" s="27"/>
      <c r="BC46" s="31"/>
      <c r="BD46" s="26"/>
      <c r="BE46" s="26"/>
      <c r="BF46" s="30"/>
      <c r="BG46" s="26"/>
      <c r="BH46" s="27"/>
      <c r="BI46" s="10" t="str">
        <f>"学年"&amp;BI$1</f>
        <v>学年141</v>
      </c>
      <c r="BJ46" s="26"/>
      <c r="BK46" s="26"/>
      <c r="BL46" s="30"/>
      <c r="BM46" s="26"/>
      <c r="BN46" s="27"/>
      <c r="BO46" s="31"/>
      <c r="BP46" s="26"/>
      <c r="BQ46" s="26"/>
      <c r="BR46" s="30"/>
      <c r="BS46" s="26"/>
      <c r="BT46" s="27"/>
      <c r="BU46" s="10" t="str">
        <f>"学年"&amp;BU$1</f>
        <v>学年169</v>
      </c>
      <c r="BV46" s="26"/>
      <c r="BW46" s="26"/>
      <c r="BX46" s="30"/>
      <c r="BY46" s="26"/>
      <c r="BZ46" s="27"/>
      <c r="CA46" s="31"/>
      <c r="CB46" s="26"/>
      <c r="CC46" s="26"/>
      <c r="CD46" s="30"/>
      <c r="CE46" s="26"/>
      <c r="CF46" s="27"/>
      <c r="CG46" s="10" t="str">
        <f>"学年"&amp;CG$1</f>
        <v>学年197</v>
      </c>
      <c r="CH46" s="26"/>
      <c r="CI46" s="26"/>
      <c r="CJ46" s="30"/>
      <c r="CK46" s="26"/>
      <c r="CL46" s="27"/>
      <c r="CM46" s="31"/>
      <c r="CN46" s="26"/>
      <c r="CO46" s="26"/>
      <c r="CP46" s="30"/>
      <c r="CQ46" s="26"/>
      <c r="CR46" s="27"/>
      <c r="CS46" s="10" t="str">
        <f>"学年"&amp;CS$1</f>
        <v>学年225</v>
      </c>
      <c r="CT46" s="26"/>
      <c r="CU46" s="26"/>
      <c r="CV46" s="30"/>
      <c r="CW46" s="26"/>
      <c r="CX46" s="27"/>
      <c r="CY46" s="31"/>
      <c r="CZ46" s="26"/>
      <c r="DA46" s="26"/>
      <c r="DB46" s="30"/>
      <c r="DC46" s="26"/>
      <c r="DD46" s="27"/>
      <c r="DE46" s="10" t="str">
        <f>"学年"&amp;DE$1</f>
        <v>学年253</v>
      </c>
      <c r="DF46" s="26"/>
      <c r="DG46" s="26"/>
      <c r="DH46" s="30"/>
      <c r="DI46" s="26"/>
      <c r="DJ46" s="27"/>
      <c r="DK46" s="31"/>
      <c r="DL46" s="26"/>
      <c r="DM46" s="26"/>
      <c r="DN46" s="30"/>
      <c r="DO46" s="26"/>
      <c r="DP46" s="27"/>
      <c r="DQ46" s="10" t="str">
        <f>"学年"&amp;DQ$1</f>
        <v>学年281</v>
      </c>
      <c r="DR46" s="26"/>
      <c r="DS46" s="26"/>
      <c r="DT46" s="30"/>
      <c r="DU46" s="26"/>
      <c r="DV46" s="27"/>
      <c r="DW46" s="31"/>
      <c r="DX46" s="26"/>
      <c r="DY46" s="26"/>
      <c r="DZ46" s="30"/>
      <c r="EA46" s="26"/>
      <c r="EB46" s="27"/>
      <c r="EC46" s="10" t="str">
        <f>"学年"&amp;EC$1</f>
        <v>学年309</v>
      </c>
      <c r="ED46" s="26"/>
      <c r="EE46" s="26"/>
      <c r="EF46" s="30"/>
      <c r="EG46" s="26"/>
      <c r="EH46" s="27"/>
      <c r="EI46" s="31"/>
      <c r="EJ46" s="26"/>
      <c r="EK46" s="26"/>
      <c r="EL46" s="30"/>
      <c r="EM46" s="26"/>
      <c r="EN46" s="27"/>
      <c r="EO46" s="10" t="str">
        <f>"学年"&amp;EO$1</f>
        <v>学年337</v>
      </c>
      <c r="EP46" s="26"/>
      <c r="EQ46" s="26"/>
      <c r="ER46" s="30"/>
      <c r="ES46" s="26"/>
      <c r="ET46" s="27"/>
      <c r="EU46" s="31"/>
      <c r="EV46" s="26"/>
      <c r="EW46" s="26"/>
      <c r="EX46" s="30"/>
      <c r="EY46" s="26"/>
      <c r="EZ46" s="27"/>
      <c r="FA46" s="10" t="str">
        <f>"学年"&amp;FA$1</f>
        <v>学年365</v>
      </c>
      <c r="FB46" s="26"/>
      <c r="FC46" s="26"/>
      <c r="FD46" s="30"/>
      <c r="FE46" s="26"/>
      <c r="FF46" s="27"/>
      <c r="FG46" s="31"/>
      <c r="FH46" s="26"/>
      <c r="FI46" s="26"/>
      <c r="FJ46" s="30"/>
      <c r="FK46" s="26"/>
      <c r="FL46" s="27"/>
      <c r="FM46" s="10" t="str">
        <f>"学年"&amp;FM$1</f>
        <v>学年393</v>
      </c>
      <c r="FN46" s="26"/>
      <c r="FO46" s="26"/>
      <c r="FP46" s="30"/>
      <c r="FQ46" s="26"/>
      <c r="FR46" s="27"/>
      <c r="FS46" s="31"/>
      <c r="FT46" s="26"/>
      <c r="FU46" s="26"/>
      <c r="FV46" s="30"/>
      <c r="FW46" s="26"/>
      <c r="FX46" s="27"/>
      <c r="FY46" s="10" t="str">
        <f>"学年"&amp;FY$1</f>
        <v>学年421</v>
      </c>
      <c r="FZ46" s="26"/>
      <c r="GA46" s="26"/>
      <c r="GB46" s="30"/>
      <c r="GC46" s="26"/>
      <c r="GD46" s="27"/>
      <c r="GE46" s="31"/>
      <c r="GF46" s="26"/>
      <c r="GG46" s="26"/>
      <c r="GH46" s="30"/>
      <c r="GI46" s="26"/>
      <c r="GJ46" s="27"/>
      <c r="GK46" s="10" t="str">
        <f>"学年"&amp;GK$1</f>
        <v>学年449</v>
      </c>
      <c r="GL46" s="26"/>
      <c r="GM46" s="26"/>
      <c r="GN46" s="30"/>
      <c r="GO46" s="26"/>
      <c r="GP46" s="27"/>
      <c r="GQ46" s="31"/>
      <c r="GR46" s="26"/>
      <c r="GS46" s="26"/>
      <c r="GT46" s="30"/>
      <c r="GU46" s="26"/>
      <c r="GV46" s="27"/>
      <c r="GW46" s="10" t="str">
        <f>"学年"&amp;GW$1</f>
        <v>学年477</v>
      </c>
      <c r="GX46" s="26"/>
      <c r="GY46" s="26"/>
      <c r="GZ46" s="30"/>
      <c r="HA46" s="26"/>
      <c r="HB46" s="27"/>
      <c r="HC46" s="31"/>
      <c r="HD46" s="26"/>
      <c r="HE46" s="26"/>
      <c r="HF46" s="30"/>
      <c r="HG46" s="26"/>
      <c r="HH46" s="27"/>
      <c r="HI46" s="10" t="str">
        <f>"学年"&amp;HI$1</f>
        <v>学年505</v>
      </c>
      <c r="HJ46" s="26"/>
      <c r="HK46" s="26"/>
      <c r="HL46" s="30"/>
      <c r="HM46" s="26"/>
      <c r="HN46" s="27"/>
      <c r="HO46" s="31"/>
      <c r="HP46" s="26"/>
      <c r="HQ46" s="26"/>
      <c r="HR46" s="30"/>
      <c r="HS46" s="26"/>
      <c r="HT46" s="27"/>
      <c r="HU46" s="3"/>
      <c r="HV46" s="3"/>
    </row>
    <row r="47" spans="1:230" ht="17.100000000000001" customHeight="1" x14ac:dyDescent="0.45">
      <c r="A47" s="10"/>
      <c r="B47" s="22">
        <f ca="1">OFFSET(Gemini抽出データ!$A$1,A43,3)</f>
        <v>0</v>
      </c>
      <c r="C47" s="23"/>
      <c r="D47" s="28"/>
      <c r="E47" s="22">
        <f ca="1">OFFSET(Gemini抽出データ!$A$1,D43,3)</f>
        <v>0</v>
      </c>
      <c r="F47" s="24"/>
      <c r="G47" s="29"/>
      <c r="H47" s="22">
        <f ca="1">OFFSET(Gemini抽出データ!$A$1,G43,3)</f>
        <v>0</v>
      </c>
      <c r="I47" s="23"/>
      <c r="J47" s="28"/>
      <c r="K47" s="22">
        <f ca="1">OFFSET(Gemini抽出データ!$A$1,J43,3)</f>
        <v>0</v>
      </c>
      <c r="L47" s="24"/>
      <c r="M47" s="10"/>
      <c r="N47" s="22">
        <f ca="1">OFFSET(Gemini抽出データ!$A$1,M43,3)</f>
        <v>0</v>
      </c>
      <c r="O47" s="23"/>
      <c r="P47" s="28"/>
      <c r="Q47" s="22">
        <f ca="1">OFFSET(Gemini抽出データ!$A$1,P43,3)</f>
        <v>0</v>
      </c>
      <c r="R47" s="24"/>
      <c r="S47" s="29"/>
      <c r="T47" s="22">
        <f ca="1">OFFSET(Gemini抽出データ!$A$1,S43,3)</f>
        <v>0</v>
      </c>
      <c r="U47" s="23"/>
      <c r="V47" s="28"/>
      <c r="W47" s="22">
        <f ca="1">OFFSET(Gemini抽出データ!$A$1,V43,3)</f>
        <v>0</v>
      </c>
      <c r="X47" s="24"/>
      <c r="Y47" s="10"/>
      <c r="Z47" s="22">
        <f ca="1">OFFSET(Gemini抽出データ!$A$1,Y43,3)</f>
        <v>0</v>
      </c>
      <c r="AA47" s="23"/>
      <c r="AB47" s="28"/>
      <c r="AC47" s="22">
        <f ca="1">OFFSET(Gemini抽出データ!$A$1,AB43,3)</f>
        <v>0</v>
      </c>
      <c r="AD47" s="24"/>
      <c r="AE47" s="29"/>
      <c r="AF47" s="22">
        <f ca="1">OFFSET(Gemini抽出データ!$A$1,AE43,3)</f>
        <v>0</v>
      </c>
      <c r="AG47" s="23"/>
      <c r="AH47" s="28"/>
      <c r="AI47" s="22">
        <f ca="1">OFFSET(Gemini抽出データ!$A$1,AH43,3)</f>
        <v>0</v>
      </c>
      <c r="AJ47" s="24"/>
      <c r="AK47" s="10"/>
      <c r="AL47" s="22">
        <f ca="1">OFFSET(Gemini抽出データ!$A$1,AK43,3)</f>
        <v>0</v>
      </c>
      <c r="AM47" s="23"/>
      <c r="AN47" s="28"/>
      <c r="AO47" s="22">
        <f ca="1">OFFSET(Gemini抽出データ!$A$1,AN43,3)</f>
        <v>0</v>
      </c>
      <c r="AP47" s="24"/>
      <c r="AQ47" s="29"/>
      <c r="AR47" s="22">
        <f ca="1">OFFSET(Gemini抽出データ!$A$1,AQ43,3)</f>
        <v>0</v>
      </c>
      <c r="AS47" s="23"/>
      <c r="AT47" s="28"/>
      <c r="AU47" s="22">
        <f ca="1">OFFSET(Gemini抽出データ!$A$1,AT43,3)</f>
        <v>0</v>
      </c>
      <c r="AV47" s="24"/>
      <c r="AW47" s="10"/>
      <c r="AX47" s="22">
        <f ca="1">OFFSET(Gemini抽出データ!$A$1,AW43,3)</f>
        <v>0</v>
      </c>
      <c r="AY47" s="23"/>
      <c r="AZ47" s="28"/>
      <c r="BA47" s="22">
        <f ca="1">OFFSET(Gemini抽出データ!$A$1,AZ43,3)</f>
        <v>0</v>
      </c>
      <c r="BB47" s="24"/>
      <c r="BC47" s="29"/>
      <c r="BD47" s="22">
        <f ca="1">OFFSET(Gemini抽出データ!$A$1,BC43,3)</f>
        <v>0</v>
      </c>
      <c r="BE47" s="23"/>
      <c r="BF47" s="28"/>
      <c r="BG47" s="22">
        <f ca="1">OFFSET(Gemini抽出データ!$A$1,BF43,3)</f>
        <v>0</v>
      </c>
      <c r="BH47" s="24"/>
      <c r="BI47" s="10"/>
      <c r="BJ47" s="22">
        <f ca="1">OFFSET(Gemini抽出データ!$A$1,BI43,3)</f>
        <v>0</v>
      </c>
      <c r="BK47" s="23"/>
      <c r="BL47" s="28"/>
      <c r="BM47" s="22">
        <f ca="1">OFFSET(Gemini抽出データ!$A$1,BL43,3)</f>
        <v>0</v>
      </c>
      <c r="BN47" s="24"/>
      <c r="BO47" s="29"/>
      <c r="BP47" s="22">
        <f ca="1">OFFSET(Gemini抽出データ!$A$1,BO43,3)</f>
        <v>0</v>
      </c>
      <c r="BQ47" s="23"/>
      <c r="BR47" s="28"/>
      <c r="BS47" s="22">
        <f ca="1">OFFSET(Gemini抽出データ!$A$1,BR43,3)</f>
        <v>0</v>
      </c>
      <c r="BT47" s="24"/>
      <c r="BU47" s="10"/>
      <c r="BV47" s="22">
        <f ca="1">OFFSET(Gemini抽出データ!$A$1,BU43,3)</f>
        <v>0</v>
      </c>
      <c r="BW47" s="23"/>
      <c r="BX47" s="28"/>
      <c r="BY47" s="22">
        <f ca="1">OFFSET(Gemini抽出データ!$A$1,BX43,3)</f>
        <v>0</v>
      </c>
      <c r="BZ47" s="24"/>
      <c r="CA47" s="29"/>
      <c r="CB47" s="22">
        <f ca="1">OFFSET(Gemini抽出データ!$A$1,CA43,3)</f>
        <v>0</v>
      </c>
      <c r="CC47" s="23"/>
      <c r="CD47" s="28"/>
      <c r="CE47" s="22">
        <f ca="1">OFFSET(Gemini抽出データ!$A$1,CD43,3)</f>
        <v>0</v>
      </c>
      <c r="CF47" s="24"/>
      <c r="CG47" s="10"/>
      <c r="CH47" s="22">
        <f ca="1">OFFSET(Gemini抽出データ!$A$1,CG43,3)</f>
        <v>0</v>
      </c>
      <c r="CI47" s="23"/>
      <c r="CJ47" s="28"/>
      <c r="CK47" s="22">
        <f ca="1">OFFSET(Gemini抽出データ!$A$1,CJ43,3)</f>
        <v>0</v>
      </c>
      <c r="CL47" s="24"/>
      <c r="CM47" s="29"/>
      <c r="CN47" s="22">
        <f ca="1">OFFSET(Gemini抽出データ!$A$1,CM43,3)</f>
        <v>0</v>
      </c>
      <c r="CO47" s="23"/>
      <c r="CP47" s="28"/>
      <c r="CQ47" s="22">
        <f ca="1">OFFSET(Gemini抽出データ!$A$1,CP43,3)</f>
        <v>0</v>
      </c>
      <c r="CR47" s="24"/>
      <c r="CS47" s="10"/>
      <c r="CT47" s="22">
        <f ca="1">OFFSET(Gemini抽出データ!$A$1,CS43,3)</f>
        <v>0</v>
      </c>
      <c r="CU47" s="23"/>
      <c r="CV47" s="28"/>
      <c r="CW47" s="22">
        <f ca="1">OFFSET(Gemini抽出データ!$A$1,CV43,3)</f>
        <v>0</v>
      </c>
      <c r="CX47" s="24"/>
      <c r="CY47" s="29"/>
      <c r="CZ47" s="22">
        <f ca="1">OFFSET(Gemini抽出データ!$A$1,CY43,3)</f>
        <v>0</v>
      </c>
      <c r="DA47" s="23"/>
      <c r="DB47" s="28"/>
      <c r="DC47" s="22">
        <f ca="1">OFFSET(Gemini抽出データ!$A$1,DB43,3)</f>
        <v>0</v>
      </c>
      <c r="DD47" s="24"/>
      <c r="DE47" s="10"/>
      <c r="DF47" s="22">
        <f ca="1">OFFSET(Gemini抽出データ!$A$1,DE43,3)</f>
        <v>0</v>
      </c>
      <c r="DG47" s="23"/>
      <c r="DH47" s="28"/>
      <c r="DI47" s="22">
        <f ca="1">OFFSET(Gemini抽出データ!$A$1,DH43,3)</f>
        <v>0</v>
      </c>
      <c r="DJ47" s="24"/>
      <c r="DK47" s="29"/>
      <c r="DL47" s="22">
        <f ca="1">OFFSET(Gemini抽出データ!$A$1,DK43,3)</f>
        <v>0</v>
      </c>
      <c r="DM47" s="23"/>
      <c r="DN47" s="28"/>
      <c r="DO47" s="22">
        <f ca="1">OFFSET(Gemini抽出データ!$A$1,DN43,3)</f>
        <v>0</v>
      </c>
      <c r="DP47" s="24"/>
      <c r="DQ47" s="10"/>
      <c r="DR47" s="22">
        <f ca="1">OFFSET(Gemini抽出データ!$A$1,DQ43,3)</f>
        <v>0</v>
      </c>
      <c r="DS47" s="23"/>
      <c r="DT47" s="28"/>
      <c r="DU47" s="22">
        <f ca="1">OFFSET(Gemini抽出データ!$A$1,DT43,3)</f>
        <v>0</v>
      </c>
      <c r="DV47" s="24"/>
      <c r="DW47" s="29"/>
      <c r="DX47" s="22">
        <f ca="1">OFFSET(Gemini抽出データ!$A$1,DW43,3)</f>
        <v>0</v>
      </c>
      <c r="DY47" s="23"/>
      <c r="DZ47" s="28"/>
      <c r="EA47" s="22">
        <f ca="1">OFFSET(Gemini抽出データ!$A$1,DZ43,3)</f>
        <v>0</v>
      </c>
      <c r="EB47" s="24"/>
      <c r="EC47" s="10"/>
      <c r="ED47" s="22">
        <f ca="1">OFFSET(Gemini抽出データ!$A$1,EC43,3)</f>
        <v>0</v>
      </c>
      <c r="EE47" s="23"/>
      <c r="EF47" s="28"/>
      <c r="EG47" s="22">
        <f ca="1">OFFSET(Gemini抽出データ!$A$1,EF43,3)</f>
        <v>0</v>
      </c>
      <c r="EH47" s="24"/>
      <c r="EI47" s="29"/>
      <c r="EJ47" s="22">
        <f ca="1">OFFSET(Gemini抽出データ!$A$1,EI43,3)</f>
        <v>0</v>
      </c>
      <c r="EK47" s="23"/>
      <c r="EL47" s="28"/>
      <c r="EM47" s="22">
        <f ca="1">OFFSET(Gemini抽出データ!$A$1,EL43,3)</f>
        <v>0</v>
      </c>
      <c r="EN47" s="24"/>
      <c r="EO47" s="10"/>
      <c r="EP47" s="22">
        <f ca="1">OFFSET(Gemini抽出データ!$A$1,EO43,3)</f>
        <v>0</v>
      </c>
      <c r="EQ47" s="23"/>
      <c r="ER47" s="28"/>
      <c r="ES47" s="22">
        <f ca="1">OFFSET(Gemini抽出データ!$A$1,ER43,3)</f>
        <v>0</v>
      </c>
      <c r="ET47" s="24"/>
      <c r="EU47" s="29"/>
      <c r="EV47" s="22">
        <f ca="1">OFFSET(Gemini抽出データ!$A$1,EU43,3)</f>
        <v>0</v>
      </c>
      <c r="EW47" s="23"/>
      <c r="EX47" s="28"/>
      <c r="EY47" s="22">
        <f ca="1">OFFSET(Gemini抽出データ!$A$1,EX43,3)</f>
        <v>0</v>
      </c>
      <c r="EZ47" s="24"/>
      <c r="FA47" s="10"/>
      <c r="FB47" s="22">
        <f ca="1">OFFSET(Gemini抽出データ!$A$1,FA43,3)</f>
        <v>0</v>
      </c>
      <c r="FC47" s="23"/>
      <c r="FD47" s="28"/>
      <c r="FE47" s="22">
        <f ca="1">OFFSET(Gemini抽出データ!$A$1,FD43,3)</f>
        <v>0</v>
      </c>
      <c r="FF47" s="24"/>
      <c r="FG47" s="29"/>
      <c r="FH47" s="22">
        <f ca="1">OFFSET(Gemini抽出データ!$A$1,FG43,3)</f>
        <v>0</v>
      </c>
      <c r="FI47" s="23"/>
      <c r="FJ47" s="28"/>
      <c r="FK47" s="22">
        <f ca="1">OFFSET(Gemini抽出データ!$A$1,FJ43,3)</f>
        <v>0</v>
      </c>
      <c r="FL47" s="24"/>
      <c r="FM47" s="10"/>
      <c r="FN47" s="22">
        <f ca="1">OFFSET(Gemini抽出データ!$A$1,FM43,3)</f>
        <v>0</v>
      </c>
      <c r="FO47" s="23"/>
      <c r="FP47" s="28"/>
      <c r="FQ47" s="22">
        <f ca="1">OFFSET(Gemini抽出データ!$A$1,FP43,3)</f>
        <v>0</v>
      </c>
      <c r="FR47" s="24"/>
      <c r="FS47" s="29"/>
      <c r="FT47" s="22">
        <f ca="1">OFFSET(Gemini抽出データ!$A$1,FS43,3)</f>
        <v>0</v>
      </c>
      <c r="FU47" s="23"/>
      <c r="FV47" s="28"/>
      <c r="FW47" s="22">
        <f ca="1">OFFSET(Gemini抽出データ!$A$1,FV43,3)</f>
        <v>0</v>
      </c>
      <c r="FX47" s="24"/>
      <c r="FY47" s="10"/>
      <c r="FZ47" s="22">
        <f ca="1">OFFSET(Gemini抽出データ!$A$1,FY43,3)</f>
        <v>0</v>
      </c>
      <c r="GA47" s="23"/>
      <c r="GB47" s="28"/>
      <c r="GC47" s="22">
        <f ca="1">OFFSET(Gemini抽出データ!$A$1,GB43,3)</f>
        <v>0</v>
      </c>
      <c r="GD47" s="24"/>
      <c r="GE47" s="29"/>
      <c r="GF47" s="22">
        <f ca="1">OFFSET(Gemini抽出データ!$A$1,GE43,3)</f>
        <v>0</v>
      </c>
      <c r="GG47" s="23"/>
      <c r="GH47" s="28"/>
      <c r="GI47" s="22">
        <f ca="1">OFFSET(Gemini抽出データ!$A$1,GH43,3)</f>
        <v>0</v>
      </c>
      <c r="GJ47" s="24"/>
      <c r="GK47" s="10"/>
      <c r="GL47" s="22">
        <f ca="1">OFFSET(Gemini抽出データ!$A$1,GK43,3)</f>
        <v>0</v>
      </c>
      <c r="GM47" s="23"/>
      <c r="GN47" s="28"/>
      <c r="GO47" s="22">
        <f ca="1">OFFSET(Gemini抽出データ!$A$1,GN43,3)</f>
        <v>0</v>
      </c>
      <c r="GP47" s="24"/>
      <c r="GQ47" s="29"/>
      <c r="GR47" s="22">
        <f ca="1">OFFSET(Gemini抽出データ!$A$1,GQ43,3)</f>
        <v>0</v>
      </c>
      <c r="GS47" s="23"/>
      <c r="GT47" s="28"/>
      <c r="GU47" s="22">
        <f ca="1">OFFSET(Gemini抽出データ!$A$1,GT43,3)</f>
        <v>0</v>
      </c>
      <c r="GV47" s="24"/>
      <c r="GW47" s="10"/>
      <c r="GX47" s="22">
        <f ca="1">OFFSET(Gemini抽出データ!$A$1,GW43,3)</f>
        <v>0</v>
      </c>
      <c r="GY47" s="23"/>
      <c r="GZ47" s="28"/>
      <c r="HA47" s="22">
        <f ca="1">OFFSET(Gemini抽出データ!$A$1,GZ43,3)</f>
        <v>0</v>
      </c>
      <c r="HB47" s="24"/>
      <c r="HC47" s="29"/>
      <c r="HD47" s="22">
        <f ca="1">OFFSET(Gemini抽出データ!$A$1,HC43,3)</f>
        <v>0</v>
      </c>
      <c r="HE47" s="23"/>
      <c r="HF47" s="28"/>
      <c r="HG47" s="22">
        <f ca="1">OFFSET(Gemini抽出データ!$A$1,HF43,3)</f>
        <v>0</v>
      </c>
      <c r="HH47" s="24"/>
      <c r="HI47" s="10"/>
      <c r="HJ47" s="22">
        <f ca="1">OFFSET(Gemini抽出データ!$A$1,HI43,3)</f>
        <v>0</v>
      </c>
      <c r="HK47" s="23"/>
      <c r="HL47" s="28"/>
      <c r="HM47" s="22">
        <f ca="1">OFFSET(Gemini抽出データ!$A$1,HL43,3)</f>
        <v>0</v>
      </c>
      <c r="HN47" s="24"/>
      <c r="HO47" s="29"/>
      <c r="HP47" s="22">
        <f ca="1">OFFSET(Gemini抽出データ!$A$1,HO43,3)</f>
        <v>0</v>
      </c>
      <c r="HQ47" s="23"/>
      <c r="HR47" s="28"/>
      <c r="HS47" s="22">
        <f ca="1">OFFSET(Gemini抽出データ!$A$1,HR43,3)</f>
        <v>0</v>
      </c>
      <c r="HT47" s="24"/>
      <c r="HU47" s="2" t="e">
        <f ca="1">OFFSET(Gemini抽出データ!$A$1,#REF!,3)</f>
        <v>#REF!</v>
      </c>
      <c r="HV47" s="3"/>
    </row>
    <row r="48" spans="1:230" ht="17.100000000000001" customHeight="1" x14ac:dyDescent="0.45">
      <c r="A48" s="10"/>
      <c r="B48" s="23"/>
      <c r="C48" s="23"/>
      <c r="D48" s="28" t="str">
        <f>"クラス"&amp;D$1</f>
        <v>クラス2</v>
      </c>
      <c r="E48" s="23"/>
      <c r="F48" s="24"/>
      <c r="G48" s="29" t="str">
        <f>"クラス"&amp;G$1</f>
        <v>クラス3</v>
      </c>
      <c r="H48" s="23"/>
      <c r="I48" s="23"/>
      <c r="J48" s="28" t="str">
        <f>"クラス"&amp;J$1</f>
        <v>クラス4</v>
      </c>
      <c r="K48" s="23"/>
      <c r="L48" s="24"/>
      <c r="M48" s="10"/>
      <c r="N48" s="23"/>
      <c r="O48" s="23"/>
      <c r="P48" s="28" t="str">
        <f>"クラス"&amp;P$1</f>
        <v>クラス30</v>
      </c>
      <c r="Q48" s="23"/>
      <c r="R48" s="24"/>
      <c r="S48" s="29" t="str">
        <f>"クラス"&amp;S$1</f>
        <v>クラス31</v>
      </c>
      <c r="T48" s="23"/>
      <c r="U48" s="23"/>
      <c r="V48" s="28" t="str">
        <f>"クラス"&amp;V$1</f>
        <v>クラス32</v>
      </c>
      <c r="W48" s="23"/>
      <c r="X48" s="24"/>
      <c r="Y48" s="10"/>
      <c r="Z48" s="23"/>
      <c r="AA48" s="23"/>
      <c r="AB48" s="28" t="str">
        <f>"クラス"&amp;AB$1</f>
        <v>クラス58</v>
      </c>
      <c r="AC48" s="23"/>
      <c r="AD48" s="24"/>
      <c r="AE48" s="29" t="str">
        <f>"クラス"&amp;AE$1</f>
        <v>クラス59</v>
      </c>
      <c r="AF48" s="23"/>
      <c r="AG48" s="23"/>
      <c r="AH48" s="28" t="str">
        <f>"クラス"&amp;AH$1</f>
        <v>クラス60</v>
      </c>
      <c r="AI48" s="23"/>
      <c r="AJ48" s="24"/>
      <c r="AK48" s="10"/>
      <c r="AL48" s="23"/>
      <c r="AM48" s="23"/>
      <c r="AN48" s="28" t="str">
        <f>"クラス"&amp;AN$1</f>
        <v>クラス86</v>
      </c>
      <c r="AO48" s="23"/>
      <c r="AP48" s="24"/>
      <c r="AQ48" s="29" t="str">
        <f>"クラス"&amp;AQ$1</f>
        <v>クラス87</v>
      </c>
      <c r="AR48" s="23"/>
      <c r="AS48" s="23"/>
      <c r="AT48" s="28" t="str">
        <f>"クラス"&amp;AT$1</f>
        <v>クラス88</v>
      </c>
      <c r="AU48" s="23"/>
      <c r="AV48" s="24"/>
      <c r="AW48" s="10"/>
      <c r="AX48" s="23"/>
      <c r="AY48" s="23"/>
      <c r="AZ48" s="28" t="str">
        <f>"クラス"&amp;AZ$1</f>
        <v>クラス114</v>
      </c>
      <c r="BA48" s="23"/>
      <c r="BB48" s="24"/>
      <c r="BC48" s="29" t="str">
        <f>"クラス"&amp;BC$1</f>
        <v>クラス115</v>
      </c>
      <c r="BD48" s="23"/>
      <c r="BE48" s="23"/>
      <c r="BF48" s="28" t="str">
        <f>"クラス"&amp;BF$1</f>
        <v>クラス116</v>
      </c>
      <c r="BG48" s="23"/>
      <c r="BH48" s="24"/>
      <c r="BI48" s="10"/>
      <c r="BJ48" s="23"/>
      <c r="BK48" s="23"/>
      <c r="BL48" s="28" t="str">
        <f>"クラス"&amp;BL$1</f>
        <v>クラス142</v>
      </c>
      <c r="BM48" s="23"/>
      <c r="BN48" s="24"/>
      <c r="BO48" s="29" t="str">
        <f>"クラス"&amp;BO$1</f>
        <v>クラス143</v>
      </c>
      <c r="BP48" s="23"/>
      <c r="BQ48" s="23"/>
      <c r="BR48" s="28" t="str">
        <f>"クラス"&amp;BR$1</f>
        <v>クラス144</v>
      </c>
      <c r="BS48" s="23"/>
      <c r="BT48" s="24"/>
      <c r="BU48" s="10"/>
      <c r="BV48" s="23"/>
      <c r="BW48" s="23"/>
      <c r="BX48" s="28" t="str">
        <f>"クラス"&amp;BX$1</f>
        <v>クラス170</v>
      </c>
      <c r="BY48" s="23"/>
      <c r="BZ48" s="24"/>
      <c r="CA48" s="29" t="str">
        <f>"クラス"&amp;CA$1</f>
        <v>クラス171</v>
      </c>
      <c r="CB48" s="23"/>
      <c r="CC48" s="23"/>
      <c r="CD48" s="28" t="str">
        <f>"クラス"&amp;CD$1</f>
        <v>クラス172</v>
      </c>
      <c r="CE48" s="23"/>
      <c r="CF48" s="24"/>
      <c r="CG48" s="10"/>
      <c r="CH48" s="23"/>
      <c r="CI48" s="23"/>
      <c r="CJ48" s="28" t="str">
        <f>"クラス"&amp;CJ$1</f>
        <v>クラス198</v>
      </c>
      <c r="CK48" s="23"/>
      <c r="CL48" s="24"/>
      <c r="CM48" s="29" t="str">
        <f>"クラス"&amp;CM$1</f>
        <v>クラス199</v>
      </c>
      <c r="CN48" s="23"/>
      <c r="CO48" s="23"/>
      <c r="CP48" s="28" t="str">
        <f>"クラス"&amp;CP$1</f>
        <v>クラス200</v>
      </c>
      <c r="CQ48" s="23"/>
      <c r="CR48" s="24"/>
      <c r="CS48" s="10"/>
      <c r="CT48" s="23"/>
      <c r="CU48" s="23"/>
      <c r="CV48" s="28" t="str">
        <f>"クラス"&amp;CV$1</f>
        <v>クラス226</v>
      </c>
      <c r="CW48" s="23"/>
      <c r="CX48" s="24"/>
      <c r="CY48" s="29" t="str">
        <f>"クラス"&amp;CY$1</f>
        <v>クラス227</v>
      </c>
      <c r="CZ48" s="23"/>
      <c r="DA48" s="23"/>
      <c r="DB48" s="28" t="str">
        <f>"クラス"&amp;DB$1</f>
        <v>クラス228</v>
      </c>
      <c r="DC48" s="23"/>
      <c r="DD48" s="24"/>
      <c r="DE48" s="10"/>
      <c r="DF48" s="23"/>
      <c r="DG48" s="23"/>
      <c r="DH48" s="28" t="str">
        <f>"クラス"&amp;DH$1</f>
        <v>クラス254</v>
      </c>
      <c r="DI48" s="23"/>
      <c r="DJ48" s="24"/>
      <c r="DK48" s="29" t="str">
        <f>"クラス"&amp;DK$1</f>
        <v>クラス255</v>
      </c>
      <c r="DL48" s="23"/>
      <c r="DM48" s="23"/>
      <c r="DN48" s="28" t="str">
        <f>"クラス"&amp;DN$1</f>
        <v>クラス256</v>
      </c>
      <c r="DO48" s="23"/>
      <c r="DP48" s="24"/>
      <c r="DQ48" s="10"/>
      <c r="DR48" s="23"/>
      <c r="DS48" s="23"/>
      <c r="DT48" s="28" t="str">
        <f>"クラス"&amp;DT$1</f>
        <v>クラス282</v>
      </c>
      <c r="DU48" s="23"/>
      <c r="DV48" s="24"/>
      <c r="DW48" s="29" t="str">
        <f>"クラス"&amp;DW$1</f>
        <v>クラス283</v>
      </c>
      <c r="DX48" s="23"/>
      <c r="DY48" s="23"/>
      <c r="DZ48" s="28" t="str">
        <f>"クラス"&amp;DZ$1</f>
        <v>クラス284</v>
      </c>
      <c r="EA48" s="23"/>
      <c r="EB48" s="24"/>
      <c r="EC48" s="10"/>
      <c r="ED48" s="23"/>
      <c r="EE48" s="23"/>
      <c r="EF48" s="28" t="str">
        <f>"クラス"&amp;EF$1</f>
        <v>クラス310</v>
      </c>
      <c r="EG48" s="23"/>
      <c r="EH48" s="24"/>
      <c r="EI48" s="29" t="str">
        <f>"クラス"&amp;EI$1</f>
        <v>クラス311</v>
      </c>
      <c r="EJ48" s="23"/>
      <c r="EK48" s="23"/>
      <c r="EL48" s="28" t="str">
        <f>"クラス"&amp;EL$1</f>
        <v>クラス312</v>
      </c>
      <c r="EM48" s="23"/>
      <c r="EN48" s="24"/>
      <c r="EO48" s="10"/>
      <c r="EP48" s="23"/>
      <c r="EQ48" s="23"/>
      <c r="ER48" s="28" t="str">
        <f>"クラス"&amp;ER$1</f>
        <v>クラス338</v>
      </c>
      <c r="ES48" s="23"/>
      <c r="ET48" s="24"/>
      <c r="EU48" s="29" t="str">
        <f>"クラス"&amp;EU$1</f>
        <v>クラス339</v>
      </c>
      <c r="EV48" s="23"/>
      <c r="EW48" s="23"/>
      <c r="EX48" s="28" t="str">
        <f>"クラス"&amp;EX$1</f>
        <v>クラス340</v>
      </c>
      <c r="EY48" s="23"/>
      <c r="EZ48" s="24"/>
      <c r="FA48" s="10"/>
      <c r="FB48" s="23"/>
      <c r="FC48" s="23"/>
      <c r="FD48" s="28" t="str">
        <f>"クラス"&amp;FD$1</f>
        <v>クラス366</v>
      </c>
      <c r="FE48" s="23"/>
      <c r="FF48" s="24"/>
      <c r="FG48" s="29" t="str">
        <f>"クラス"&amp;FG$1</f>
        <v>クラス367</v>
      </c>
      <c r="FH48" s="23"/>
      <c r="FI48" s="23"/>
      <c r="FJ48" s="28" t="str">
        <f>"クラス"&amp;FJ$1</f>
        <v>クラス368</v>
      </c>
      <c r="FK48" s="23"/>
      <c r="FL48" s="24"/>
      <c r="FM48" s="10"/>
      <c r="FN48" s="23"/>
      <c r="FO48" s="23"/>
      <c r="FP48" s="28" t="str">
        <f>"クラス"&amp;FP$1</f>
        <v>クラス394</v>
      </c>
      <c r="FQ48" s="23"/>
      <c r="FR48" s="24"/>
      <c r="FS48" s="29" t="str">
        <f>"クラス"&amp;FS$1</f>
        <v>クラス395</v>
      </c>
      <c r="FT48" s="23"/>
      <c r="FU48" s="23"/>
      <c r="FV48" s="28" t="str">
        <f>"クラス"&amp;FV$1</f>
        <v>クラス396</v>
      </c>
      <c r="FW48" s="23"/>
      <c r="FX48" s="24"/>
      <c r="FY48" s="10"/>
      <c r="FZ48" s="23"/>
      <c r="GA48" s="23"/>
      <c r="GB48" s="28" t="str">
        <f>"クラス"&amp;GB$1</f>
        <v>クラス422</v>
      </c>
      <c r="GC48" s="23"/>
      <c r="GD48" s="24"/>
      <c r="GE48" s="29" t="str">
        <f>"クラス"&amp;GE$1</f>
        <v>クラス423</v>
      </c>
      <c r="GF48" s="23"/>
      <c r="GG48" s="23"/>
      <c r="GH48" s="28" t="str">
        <f>"クラス"&amp;GH$1</f>
        <v>クラス424</v>
      </c>
      <c r="GI48" s="23"/>
      <c r="GJ48" s="24"/>
      <c r="GK48" s="10"/>
      <c r="GL48" s="23"/>
      <c r="GM48" s="23"/>
      <c r="GN48" s="28" t="str">
        <f>"クラス"&amp;GN$1</f>
        <v>クラス450</v>
      </c>
      <c r="GO48" s="23"/>
      <c r="GP48" s="24"/>
      <c r="GQ48" s="29" t="str">
        <f>"クラス"&amp;GQ$1</f>
        <v>クラス451</v>
      </c>
      <c r="GR48" s="23"/>
      <c r="GS48" s="23"/>
      <c r="GT48" s="28" t="str">
        <f>"クラス"&amp;GT$1</f>
        <v>クラス452</v>
      </c>
      <c r="GU48" s="23"/>
      <c r="GV48" s="24"/>
      <c r="GW48" s="10"/>
      <c r="GX48" s="23"/>
      <c r="GY48" s="23"/>
      <c r="GZ48" s="28" t="str">
        <f>"クラス"&amp;GZ$1</f>
        <v>クラス478</v>
      </c>
      <c r="HA48" s="23"/>
      <c r="HB48" s="24"/>
      <c r="HC48" s="29" t="str">
        <f>"クラス"&amp;HC$1</f>
        <v>クラス479</v>
      </c>
      <c r="HD48" s="23"/>
      <c r="HE48" s="23"/>
      <c r="HF48" s="28" t="str">
        <f>"クラス"&amp;HF$1</f>
        <v>クラス480</v>
      </c>
      <c r="HG48" s="23"/>
      <c r="HH48" s="24"/>
      <c r="HI48" s="10"/>
      <c r="HJ48" s="23"/>
      <c r="HK48" s="23"/>
      <c r="HL48" s="28" t="str">
        <f>"クラス"&amp;HL$1</f>
        <v>クラス506</v>
      </c>
      <c r="HM48" s="23"/>
      <c r="HN48" s="24"/>
      <c r="HO48" s="29" t="str">
        <f>"クラス"&amp;HO$1</f>
        <v>クラス507</v>
      </c>
      <c r="HP48" s="23"/>
      <c r="HQ48" s="23"/>
      <c r="HR48" s="28" t="str">
        <f>"クラス"&amp;HR$1</f>
        <v>クラス508</v>
      </c>
      <c r="HS48" s="23"/>
      <c r="HT48" s="24"/>
      <c r="HU48" s="3"/>
      <c r="HV48" s="3"/>
    </row>
    <row r="49" spans="1:230" ht="17.100000000000001" customHeight="1" x14ac:dyDescent="0.45">
      <c r="A49" s="16" t="str">
        <f>"クラス"&amp;A$1</f>
        <v>クラス1</v>
      </c>
      <c r="B49" s="17">
        <f ca="1">OFFSET(Gemini抽出データ!$A$1,A43,4)</f>
        <v>0</v>
      </c>
      <c r="C49" s="17" t="str">
        <f ca="1">IF(OFFSET(Gemini抽出データ!$A$1,A43,5)=0,"",OFFSET(Gemini抽出データ!$A$1,A43,5))</f>
        <v/>
      </c>
      <c r="D49" s="16" t="str">
        <f>A49</f>
        <v>クラス1</v>
      </c>
      <c r="E49" s="17">
        <f ca="1">OFFSET(Gemini抽出データ!$A$1,D43,4)</f>
        <v>0</v>
      </c>
      <c r="F49" s="18" t="str">
        <f ca="1">IF(OFFSET(Gemini抽出データ!$A$1,D43,5)=0,"",OFFSET(Gemini抽出データ!$A$1,D43,5))</f>
        <v/>
      </c>
      <c r="G49" s="19" t="str">
        <f>A49</f>
        <v>クラス1</v>
      </c>
      <c r="H49" s="17">
        <f ca="1">OFFSET(Gemini抽出データ!$A$1,G43,4)</f>
        <v>0</v>
      </c>
      <c r="I49" s="17" t="str">
        <f ca="1">IF(OFFSET(Gemini抽出データ!$A$1,G43,5)=0,"",OFFSET(Gemini抽出データ!$A$1,G43,5))</f>
        <v/>
      </c>
      <c r="J49" s="16" t="str">
        <f>G49</f>
        <v>クラス1</v>
      </c>
      <c r="K49" s="17">
        <f ca="1">OFFSET(Gemini抽出データ!$A$1,J43,4)</f>
        <v>0</v>
      </c>
      <c r="L49" s="18" t="str">
        <f ca="1">IF(OFFSET(Gemini抽出データ!$A$1,J43,5)=0,"",OFFSET(Gemini抽出データ!$A$1,J43,5))</f>
        <v/>
      </c>
      <c r="M49" s="16" t="str">
        <f>"クラス"&amp;M$1</f>
        <v>クラス29</v>
      </c>
      <c r="N49" s="17">
        <f ca="1">OFFSET(Gemini抽出データ!$A$1,M43,4)</f>
        <v>0</v>
      </c>
      <c r="O49" s="17" t="str">
        <f ca="1">IF(OFFSET(Gemini抽出データ!$A$1,M43,5)=0,"",OFFSET(Gemini抽出データ!$A$1,M43,5))</f>
        <v/>
      </c>
      <c r="P49" s="16" t="str">
        <f>M49</f>
        <v>クラス29</v>
      </c>
      <c r="Q49" s="17">
        <f ca="1">OFFSET(Gemini抽出データ!$A$1,P43,4)</f>
        <v>0</v>
      </c>
      <c r="R49" s="18" t="str">
        <f ca="1">IF(OFFSET(Gemini抽出データ!$A$1,P43,5)=0,"",OFFSET(Gemini抽出データ!$A$1,P43,5))</f>
        <v/>
      </c>
      <c r="S49" s="19" t="str">
        <f>M49</f>
        <v>クラス29</v>
      </c>
      <c r="T49" s="17">
        <f ca="1">OFFSET(Gemini抽出データ!$A$1,S43,4)</f>
        <v>0</v>
      </c>
      <c r="U49" s="17" t="str">
        <f ca="1">IF(OFFSET(Gemini抽出データ!$A$1,S43,5)=0,"",OFFSET(Gemini抽出データ!$A$1,S43,5))</f>
        <v/>
      </c>
      <c r="V49" s="16" t="str">
        <f>S49</f>
        <v>クラス29</v>
      </c>
      <c r="W49" s="17">
        <f ca="1">OFFSET(Gemini抽出データ!$A$1,V43,4)</f>
        <v>0</v>
      </c>
      <c r="X49" s="18" t="str">
        <f ca="1">IF(OFFSET(Gemini抽出データ!$A$1,V43,5)=0,"",OFFSET(Gemini抽出データ!$A$1,V43,5))</f>
        <v/>
      </c>
      <c r="Y49" s="16" t="str">
        <f>"クラス"&amp;Y$1</f>
        <v>クラス57</v>
      </c>
      <c r="Z49" s="17">
        <f ca="1">OFFSET(Gemini抽出データ!$A$1,Y43,4)</f>
        <v>0</v>
      </c>
      <c r="AA49" s="17" t="str">
        <f ca="1">IF(OFFSET(Gemini抽出データ!$A$1,Y43,5)=0,"",OFFSET(Gemini抽出データ!$A$1,Y43,5))</f>
        <v/>
      </c>
      <c r="AB49" s="16" t="str">
        <f>Y49</f>
        <v>クラス57</v>
      </c>
      <c r="AC49" s="17">
        <f ca="1">OFFSET(Gemini抽出データ!$A$1,AB43,4)</f>
        <v>0</v>
      </c>
      <c r="AD49" s="18" t="str">
        <f ca="1">IF(OFFSET(Gemini抽出データ!$A$1,AB43,5)=0,"",OFFSET(Gemini抽出データ!$A$1,AB43,5))</f>
        <v/>
      </c>
      <c r="AE49" s="19" t="str">
        <f>Y49</f>
        <v>クラス57</v>
      </c>
      <c r="AF49" s="17">
        <f ca="1">OFFSET(Gemini抽出データ!$A$1,AE43,4)</f>
        <v>0</v>
      </c>
      <c r="AG49" s="17" t="str">
        <f ca="1">IF(OFFSET(Gemini抽出データ!$A$1,AE43,5)=0,"",OFFSET(Gemini抽出データ!$A$1,AE43,5))</f>
        <v/>
      </c>
      <c r="AH49" s="16" t="str">
        <f>AE49</f>
        <v>クラス57</v>
      </c>
      <c r="AI49" s="17">
        <f ca="1">OFFSET(Gemini抽出データ!$A$1,AH43,4)</f>
        <v>0</v>
      </c>
      <c r="AJ49" s="18" t="str">
        <f ca="1">IF(OFFSET(Gemini抽出データ!$A$1,AH43,5)=0,"",OFFSET(Gemini抽出データ!$A$1,AH43,5))</f>
        <v/>
      </c>
      <c r="AK49" s="16" t="str">
        <f>"クラス"&amp;AK$1</f>
        <v>クラス85</v>
      </c>
      <c r="AL49" s="17">
        <f ca="1">OFFSET(Gemini抽出データ!$A$1,AK43,4)</f>
        <v>0</v>
      </c>
      <c r="AM49" s="17" t="str">
        <f ca="1">IF(OFFSET(Gemini抽出データ!$A$1,AK43,5)=0,"",OFFSET(Gemini抽出データ!$A$1,AK43,5))</f>
        <v/>
      </c>
      <c r="AN49" s="16" t="str">
        <f>AK49</f>
        <v>クラス85</v>
      </c>
      <c r="AO49" s="17">
        <f ca="1">OFFSET(Gemini抽出データ!$A$1,AN43,4)</f>
        <v>0</v>
      </c>
      <c r="AP49" s="18" t="str">
        <f ca="1">IF(OFFSET(Gemini抽出データ!$A$1,AN43,5)=0,"",OFFSET(Gemini抽出データ!$A$1,AN43,5))</f>
        <v/>
      </c>
      <c r="AQ49" s="19" t="str">
        <f>AK49</f>
        <v>クラス85</v>
      </c>
      <c r="AR49" s="17">
        <f ca="1">OFFSET(Gemini抽出データ!$A$1,AQ43,4)</f>
        <v>0</v>
      </c>
      <c r="AS49" s="17" t="str">
        <f ca="1">IF(OFFSET(Gemini抽出データ!$A$1,AQ43,5)=0,"",OFFSET(Gemini抽出データ!$A$1,AQ43,5))</f>
        <v/>
      </c>
      <c r="AT49" s="16" t="str">
        <f>AQ49</f>
        <v>クラス85</v>
      </c>
      <c r="AU49" s="17">
        <f ca="1">OFFSET(Gemini抽出データ!$A$1,AT43,4)</f>
        <v>0</v>
      </c>
      <c r="AV49" s="18" t="str">
        <f ca="1">IF(OFFSET(Gemini抽出データ!$A$1,AT43,5)=0,"",OFFSET(Gemini抽出データ!$A$1,AT43,5))</f>
        <v/>
      </c>
      <c r="AW49" s="16" t="str">
        <f>"クラス"&amp;AW$1</f>
        <v>クラス113</v>
      </c>
      <c r="AX49" s="17">
        <f ca="1">OFFSET(Gemini抽出データ!$A$1,AW43,4)</f>
        <v>0</v>
      </c>
      <c r="AY49" s="17" t="str">
        <f ca="1">IF(OFFSET(Gemini抽出データ!$A$1,AW43,5)=0,"",OFFSET(Gemini抽出データ!$A$1,AW43,5))</f>
        <v/>
      </c>
      <c r="AZ49" s="16" t="str">
        <f>AW49</f>
        <v>クラス113</v>
      </c>
      <c r="BA49" s="17">
        <f ca="1">OFFSET(Gemini抽出データ!$A$1,AZ43,4)</f>
        <v>0</v>
      </c>
      <c r="BB49" s="18" t="str">
        <f ca="1">IF(OFFSET(Gemini抽出データ!$A$1,AZ43,5)=0,"",OFFSET(Gemini抽出データ!$A$1,AZ43,5))</f>
        <v/>
      </c>
      <c r="BC49" s="19" t="str">
        <f>AW49</f>
        <v>クラス113</v>
      </c>
      <c r="BD49" s="17">
        <f ca="1">OFFSET(Gemini抽出データ!$A$1,BC43,4)</f>
        <v>0</v>
      </c>
      <c r="BE49" s="17" t="str">
        <f ca="1">IF(OFFSET(Gemini抽出データ!$A$1,BC43,5)=0,"",OFFSET(Gemini抽出データ!$A$1,BC43,5))</f>
        <v/>
      </c>
      <c r="BF49" s="16" t="str">
        <f>BC49</f>
        <v>クラス113</v>
      </c>
      <c r="BG49" s="17">
        <f ca="1">OFFSET(Gemini抽出データ!$A$1,BF43,4)</f>
        <v>0</v>
      </c>
      <c r="BH49" s="18" t="str">
        <f ca="1">IF(OFFSET(Gemini抽出データ!$A$1,BF43,5)=0,"",OFFSET(Gemini抽出データ!$A$1,BF43,5))</f>
        <v/>
      </c>
      <c r="BI49" s="16" t="str">
        <f>"クラス"&amp;BI$1</f>
        <v>クラス141</v>
      </c>
      <c r="BJ49" s="17">
        <f ca="1">OFFSET(Gemini抽出データ!$A$1,BI43,4)</f>
        <v>0</v>
      </c>
      <c r="BK49" s="17" t="str">
        <f ca="1">IF(OFFSET(Gemini抽出データ!$A$1,BI43,5)=0,"",OFFSET(Gemini抽出データ!$A$1,BI43,5))</f>
        <v/>
      </c>
      <c r="BL49" s="16" t="str">
        <f>BI49</f>
        <v>クラス141</v>
      </c>
      <c r="BM49" s="17">
        <f ca="1">OFFSET(Gemini抽出データ!$A$1,BL43,4)</f>
        <v>0</v>
      </c>
      <c r="BN49" s="18" t="str">
        <f ca="1">IF(OFFSET(Gemini抽出データ!$A$1,BL43,5)=0,"",OFFSET(Gemini抽出データ!$A$1,BL43,5))</f>
        <v/>
      </c>
      <c r="BO49" s="19" t="str">
        <f>BI49</f>
        <v>クラス141</v>
      </c>
      <c r="BP49" s="17">
        <f ca="1">OFFSET(Gemini抽出データ!$A$1,BO43,4)</f>
        <v>0</v>
      </c>
      <c r="BQ49" s="17" t="str">
        <f ca="1">IF(OFFSET(Gemini抽出データ!$A$1,BO43,5)=0,"",OFFSET(Gemini抽出データ!$A$1,BO43,5))</f>
        <v/>
      </c>
      <c r="BR49" s="16" t="str">
        <f>BO49</f>
        <v>クラス141</v>
      </c>
      <c r="BS49" s="17">
        <f ca="1">OFFSET(Gemini抽出データ!$A$1,BR43,4)</f>
        <v>0</v>
      </c>
      <c r="BT49" s="18" t="str">
        <f ca="1">IF(OFFSET(Gemini抽出データ!$A$1,BR43,5)=0,"",OFFSET(Gemini抽出データ!$A$1,BR43,5))</f>
        <v/>
      </c>
      <c r="BU49" s="16" t="str">
        <f>"クラス"&amp;BU$1</f>
        <v>クラス169</v>
      </c>
      <c r="BV49" s="17">
        <f ca="1">OFFSET(Gemini抽出データ!$A$1,BU43,4)</f>
        <v>0</v>
      </c>
      <c r="BW49" s="17" t="str">
        <f ca="1">IF(OFFSET(Gemini抽出データ!$A$1,BU43,5)=0,"",OFFSET(Gemini抽出データ!$A$1,BU43,5))</f>
        <v/>
      </c>
      <c r="BX49" s="16" t="str">
        <f>BU49</f>
        <v>クラス169</v>
      </c>
      <c r="BY49" s="17">
        <f ca="1">OFFSET(Gemini抽出データ!$A$1,BX43,4)</f>
        <v>0</v>
      </c>
      <c r="BZ49" s="18" t="str">
        <f ca="1">IF(OFFSET(Gemini抽出データ!$A$1,BX43,5)=0,"",OFFSET(Gemini抽出データ!$A$1,BX43,5))</f>
        <v/>
      </c>
      <c r="CA49" s="19" t="str">
        <f>BU49</f>
        <v>クラス169</v>
      </c>
      <c r="CB49" s="17">
        <f ca="1">OFFSET(Gemini抽出データ!$A$1,CA43,4)</f>
        <v>0</v>
      </c>
      <c r="CC49" s="17" t="str">
        <f ca="1">IF(OFFSET(Gemini抽出データ!$A$1,CA43,5)=0,"",OFFSET(Gemini抽出データ!$A$1,CA43,5))</f>
        <v/>
      </c>
      <c r="CD49" s="16" t="str">
        <f>CA49</f>
        <v>クラス169</v>
      </c>
      <c r="CE49" s="17">
        <f ca="1">OFFSET(Gemini抽出データ!$A$1,CD43,4)</f>
        <v>0</v>
      </c>
      <c r="CF49" s="18" t="str">
        <f ca="1">IF(OFFSET(Gemini抽出データ!$A$1,CD43,5)=0,"",OFFSET(Gemini抽出データ!$A$1,CD43,5))</f>
        <v/>
      </c>
      <c r="CG49" s="16" t="str">
        <f>"クラス"&amp;CG$1</f>
        <v>クラス197</v>
      </c>
      <c r="CH49" s="17">
        <f ca="1">OFFSET(Gemini抽出データ!$A$1,CG43,4)</f>
        <v>0</v>
      </c>
      <c r="CI49" s="17" t="str">
        <f ca="1">IF(OFFSET(Gemini抽出データ!$A$1,CG43,5)=0,"",OFFSET(Gemini抽出データ!$A$1,CG43,5))</f>
        <v/>
      </c>
      <c r="CJ49" s="16" t="str">
        <f>CG49</f>
        <v>クラス197</v>
      </c>
      <c r="CK49" s="17">
        <f ca="1">OFFSET(Gemini抽出データ!$A$1,CJ43,4)</f>
        <v>0</v>
      </c>
      <c r="CL49" s="18" t="str">
        <f ca="1">IF(OFFSET(Gemini抽出データ!$A$1,CJ43,5)=0,"",OFFSET(Gemini抽出データ!$A$1,CJ43,5))</f>
        <v/>
      </c>
      <c r="CM49" s="19" t="str">
        <f>CG49</f>
        <v>クラス197</v>
      </c>
      <c r="CN49" s="17">
        <f ca="1">OFFSET(Gemini抽出データ!$A$1,CM43,4)</f>
        <v>0</v>
      </c>
      <c r="CO49" s="17" t="str">
        <f ca="1">IF(OFFSET(Gemini抽出データ!$A$1,CM43,5)=0,"",OFFSET(Gemini抽出データ!$A$1,CM43,5))</f>
        <v/>
      </c>
      <c r="CP49" s="16" t="str">
        <f>CM49</f>
        <v>クラス197</v>
      </c>
      <c r="CQ49" s="17">
        <f ca="1">OFFSET(Gemini抽出データ!$A$1,CP43,4)</f>
        <v>0</v>
      </c>
      <c r="CR49" s="18" t="str">
        <f ca="1">IF(OFFSET(Gemini抽出データ!$A$1,CP43,5)=0,"",OFFSET(Gemini抽出データ!$A$1,CP43,5))</f>
        <v/>
      </c>
      <c r="CS49" s="16" t="str">
        <f>"クラス"&amp;CS$1</f>
        <v>クラス225</v>
      </c>
      <c r="CT49" s="17">
        <f ca="1">OFFSET(Gemini抽出データ!$A$1,CS43,4)</f>
        <v>0</v>
      </c>
      <c r="CU49" s="17" t="str">
        <f ca="1">IF(OFFSET(Gemini抽出データ!$A$1,CS43,5)=0,"",OFFSET(Gemini抽出データ!$A$1,CS43,5))</f>
        <v/>
      </c>
      <c r="CV49" s="16" t="str">
        <f>CS49</f>
        <v>クラス225</v>
      </c>
      <c r="CW49" s="17">
        <f ca="1">OFFSET(Gemini抽出データ!$A$1,CV43,4)</f>
        <v>0</v>
      </c>
      <c r="CX49" s="18" t="str">
        <f ca="1">IF(OFFSET(Gemini抽出データ!$A$1,CV43,5)=0,"",OFFSET(Gemini抽出データ!$A$1,CV43,5))</f>
        <v/>
      </c>
      <c r="CY49" s="19" t="str">
        <f>CS49</f>
        <v>クラス225</v>
      </c>
      <c r="CZ49" s="17">
        <f ca="1">OFFSET(Gemini抽出データ!$A$1,CY43,4)</f>
        <v>0</v>
      </c>
      <c r="DA49" s="17" t="str">
        <f ca="1">IF(OFFSET(Gemini抽出データ!$A$1,CY43,5)=0,"",OFFSET(Gemini抽出データ!$A$1,CY43,5))</f>
        <v/>
      </c>
      <c r="DB49" s="16" t="str">
        <f>CY49</f>
        <v>クラス225</v>
      </c>
      <c r="DC49" s="17">
        <f ca="1">OFFSET(Gemini抽出データ!$A$1,DB43,4)</f>
        <v>0</v>
      </c>
      <c r="DD49" s="18" t="str">
        <f ca="1">IF(OFFSET(Gemini抽出データ!$A$1,DB43,5)=0,"",OFFSET(Gemini抽出データ!$A$1,DB43,5))</f>
        <v/>
      </c>
      <c r="DE49" s="16" t="str">
        <f>"クラス"&amp;DE$1</f>
        <v>クラス253</v>
      </c>
      <c r="DF49" s="17">
        <f ca="1">OFFSET(Gemini抽出データ!$A$1,DE43,4)</f>
        <v>0</v>
      </c>
      <c r="DG49" s="17" t="str">
        <f ca="1">IF(OFFSET(Gemini抽出データ!$A$1,DE43,5)=0,"",OFFSET(Gemini抽出データ!$A$1,DE43,5))</f>
        <v/>
      </c>
      <c r="DH49" s="16" t="str">
        <f>DE49</f>
        <v>クラス253</v>
      </c>
      <c r="DI49" s="17">
        <f ca="1">OFFSET(Gemini抽出データ!$A$1,DH43,4)</f>
        <v>0</v>
      </c>
      <c r="DJ49" s="18" t="str">
        <f ca="1">IF(OFFSET(Gemini抽出データ!$A$1,DH43,5)=0,"",OFFSET(Gemini抽出データ!$A$1,DH43,5))</f>
        <v/>
      </c>
      <c r="DK49" s="19" t="str">
        <f>DE49</f>
        <v>クラス253</v>
      </c>
      <c r="DL49" s="17">
        <f ca="1">OFFSET(Gemini抽出データ!$A$1,DK43,4)</f>
        <v>0</v>
      </c>
      <c r="DM49" s="17" t="str">
        <f ca="1">IF(OFFSET(Gemini抽出データ!$A$1,DK43,5)=0,"",OFFSET(Gemini抽出データ!$A$1,DK43,5))</f>
        <v/>
      </c>
      <c r="DN49" s="16" t="str">
        <f>DK49</f>
        <v>クラス253</v>
      </c>
      <c r="DO49" s="17">
        <f ca="1">OFFSET(Gemini抽出データ!$A$1,DN43,4)</f>
        <v>0</v>
      </c>
      <c r="DP49" s="18" t="str">
        <f ca="1">IF(OFFSET(Gemini抽出データ!$A$1,DN43,5)=0,"",OFFSET(Gemini抽出データ!$A$1,DN43,5))</f>
        <v/>
      </c>
      <c r="DQ49" s="16" t="str">
        <f>"クラス"&amp;DQ$1</f>
        <v>クラス281</v>
      </c>
      <c r="DR49" s="17">
        <f ca="1">OFFSET(Gemini抽出データ!$A$1,DQ43,4)</f>
        <v>0</v>
      </c>
      <c r="DS49" s="17" t="str">
        <f ca="1">IF(OFFSET(Gemini抽出データ!$A$1,DQ43,5)=0,"",OFFSET(Gemini抽出データ!$A$1,DQ43,5))</f>
        <v/>
      </c>
      <c r="DT49" s="16" t="str">
        <f>DQ49</f>
        <v>クラス281</v>
      </c>
      <c r="DU49" s="17">
        <f ca="1">OFFSET(Gemini抽出データ!$A$1,DT43,4)</f>
        <v>0</v>
      </c>
      <c r="DV49" s="18" t="str">
        <f ca="1">IF(OFFSET(Gemini抽出データ!$A$1,DT43,5)=0,"",OFFSET(Gemini抽出データ!$A$1,DT43,5))</f>
        <v/>
      </c>
      <c r="DW49" s="19" t="str">
        <f>DQ49</f>
        <v>クラス281</v>
      </c>
      <c r="DX49" s="17">
        <f ca="1">OFFSET(Gemini抽出データ!$A$1,DW43,4)</f>
        <v>0</v>
      </c>
      <c r="DY49" s="17" t="str">
        <f ca="1">IF(OFFSET(Gemini抽出データ!$A$1,DW43,5)=0,"",OFFSET(Gemini抽出データ!$A$1,DW43,5))</f>
        <v/>
      </c>
      <c r="DZ49" s="16" t="str">
        <f>DW49</f>
        <v>クラス281</v>
      </c>
      <c r="EA49" s="17">
        <f ca="1">OFFSET(Gemini抽出データ!$A$1,DZ43,4)</f>
        <v>0</v>
      </c>
      <c r="EB49" s="18" t="str">
        <f ca="1">IF(OFFSET(Gemini抽出データ!$A$1,DZ43,5)=0,"",OFFSET(Gemini抽出データ!$A$1,DZ43,5))</f>
        <v/>
      </c>
      <c r="EC49" s="16" t="str">
        <f>"クラス"&amp;EC$1</f>
        <v>クラス309</v>
      </c>
      <c r="ED49" s="17">
        <f ca="1">OFFSET(Gemini抽出データ!$A$1,EC43,4)</f>
        <v>0</v>
      </c>
      <c r="EE49" s="17" t="str">
        <f ca="1">IF(OFFSET(Gemini抽出データ!$A$1,EC43,5)=0,"",OFFSET(Gemini抽出データ!$A$1,EC43,5))</f>
        <v/>
      </c>
      <c r="EF49" s="16" t="str">
        <f>EC49</f>
        <v>クラス309</v>
      </c>
      <c r="EG49" s="17">
        <f ca="1">OFFSET(Gemini抽出データ!$A$1,EF43,4)</f>
        <v>0</v>
      </c>
      <c r="EH49" s="18" t="str">
        <f ca="1">IF(OFFSET(Gemini抽出データ!$A$1,EF43,5)=0,"",OFFSET(Gemini抽出データ!$A$1,EF43,5))</f>
        <v/>
      </c>
      <c r="EI49" s="19" t="str">
        <f>EC49</f>
        <v>クラス309</v>
      </c>
      <c r="EJ49" s="17">
        <f ca="1">OFFSET(Gemini抽出データ!$A$1,EI43,4)</f>
        <v>0</v>
      </c>
      <c r="EK49" s="17" t="str">
        <f ca="1">IF(OFFSET(Gemini抽出データ!$A$1,EI43,5)=0,"",OFFSET(Gemini抽出データ!$A$1,EI43,5))</f>
        <v/>
      </c>
      <c r="EL49" s="16" t="str">
        <f>EI49</f>
        <v>クラス309</v>
      </c>
      <c r="EM49" s="17">
        <f ca="1">OFFSET(Gemini抽出データ!$A$1,EL43,4)</f>
        <v>0</v>
      </c>
      <c r="EN49" s="18" t="str">
        <f ca="1">IF(OFFSET(Gemini抽出データ!$A$1,EL43,5)=0,"",OFFSET(Gemini抽出データ!$A$1,EL43,5))</f>
        <v/>
      </c>
      <c r="EO49" s="16" t="str">
        <f>"クラス"&amp;EO$1</f>
        <v>クラス337</v>
      </c>
      <c r="EP49" s="17">
        <f ca="1">OFFSET(Gemini抽出データ!$A$1,EO43,4)</f>
        <v>0</v>
      </c>
      <c r="EQ49" s="17" t="str">
        <f ca="1">IF(OFFSET(Gemini抽出データ!$A$1,EO43,5)=0,"",OFFSET(Gemini抽出データ!$A$1,EO43,5))</f>
        <v/>
      </c>
      <c r="ER49" s="16" t="str">
        <f>EO49</f>
        <v>クラス337</v>
      </c>
      <c r="ES49" s="17">
        <f ca="1">OFFSET(Gemini抽出データ!$A$1,ER43,4)</f>
        <v>0</v>
      </c>
      <c r="ET49" s="18" t="str">
        <f ca="1">IF(OFFSET(Gemini抽出データ!$A$1,ER43,5)=0,"",OFFSET(Gemini抽出データ!$A$1,ER43,5))</f>
        <v/>
      </c>
      <c r="EU49" s="19" t="str">
        <f>EO49</f>
        <v>クラス337</v>
      </c>
      <c r="EV49" s="17">
        <f ca="1">OFFSET(Gemini抽出データ!$A$1,EU43,4)</f>
        <v>0</v>
      </c>
      <c r="EW49" s="17" t="str">
        <f ca="1">IF(OFFSET(Gemini抽出データ!$A$1,EU43,5)=0,"",OFFSET(Gemini抽出データ!$A$1,EU43,5))</f>
        <v/>
      </c>
      <c r="EX49" s="16" t="str">
        <f>EU49</f>
        <v>クラス337</v>
      </c>
      <c r="EY49" s="17">
        <f ca="1">OFFSET(Gemini抽出データ!$A$1,EX43,4)</f>
        <v>0</v>
      </c>
      <c r="EZ49" s="18" t="str">
        <f ca="1">IF(OFFSET(Gemini抽出データ!$A$1,EX43,5)=0,"",OFFSET(Gemini抽出データ!$A$1,EX43,5))</f>
        <v/>
      </c>
      <c r="FA49" s="16" t="str">
        <f>"クラス"&amp;FA$1</f>
        <v>クラス365</v>
      </c>
      <c r="FB49" s="17">
        <f ca="1">OFFSET(Gemini抽出データ!$A$1,FA43,4)</f>
        <v>0</v>
      </c>
      <c r="FC49" s="17" t="str">
        <f ca="1">IF(OFFSET(Gemini抽出データ!$A$1,FA43,5)=0,"",OFFSET(Gemini抽出データ!$A$1,FA43,5))</f>
        <v/>
      </c>
      <c r="FD49" s="16" t="str">
        <f>FA49</f>
        <v>クラス365</v>
      </c>
      <c r="FE49" s="17">
        <f ca="1">OFFSET(Gemini抽出データ!$A$1,FD43,4)</f>
        <v>0</v>
      </c>
      <c r="FF49" s="18" t="str">
        <f ca="1">IF(OFFSET(Gemini抽出データ!$A$1,FD43,5)=0,"",OFFSET(Gemini抽出データ!$A$1,FD43,5))</f>
        <v/>
      </c>
      <c r="FG49" s="19" t="str">
        <f>FA49</f>
        <v>クラス365</v>
      </c>
      <c r="FH49" s="17">
        <f ca="1">OFFSET(Gemini抽出データ!$A$1,FG43,4)</f>
        <v>0</v>
      </c>
      <c r="FI49" s="17" t="str">
        <f ca="1">IF(OFFSET(Gemini抽出データ!$A$1,FG43,5)=0,"",OFFSET(Gemini抽出データ!$A$1,FG43,5))</f>
        <v/>
      </c>
      <c r="FJ49" s="16" t="str">
        <f>FG49</f>
        <v>クラス365</v>
      </c>
      <c r="FK49" s="17">
        <f ca="1">OFFSET(Gemini抽出データ!$A$1,FJ43,4)</f>
        <v>0</v>
      </c>
      <c r="FL49" s="18" t="str">
        <f ca="1">IF(OFFSET(Gemini抽出データ!$A$1,FJ43,5)=0,"",OFFSET(Gemini抽出データ!$A$1,FJ43,5))</f>
        <v/>
      </c>
      <c r="FM49" s="16" t="str">
        <f>"クラス"&amp;FM$1</f>
        <v>クラス393</v>
      </c>
      <c r="FN49" s="17">
        <f ca="1">OFFSET(Gemini抽出データ!$A$1,FM43,4)</f>
        <v>0</v>
      </c>
      <c r="FO49" s="17" t="str">
        <f ca="1">IF(OFFSET(Gemini抽出データ!$A$1,FM43,5)=0,"",OFFSET(Gemini抽出データ!$A$1,FM43,5))</f>
        <v/>
      </c>
      <c r="FP49" s="16" t="str">
        <f>FM49</f>
        <v>クラス393</v>
      </c>
      <c r="FQ49" s="17">
        <f ca="1">OFFSET(Gemini抽出データ!$A$1,FP43,4)</f>
        <v>0</v>
      </c>
      <c r="FR49" s="18" t="str">
        <f ca="1">IF(OFFSET(Gemini抽出データ!$A$1,FP43,5)=0,"",OFFSET(Gemini抽出データ!$A$1,FP43,5))</f>
        <v/>
      </c>
      <c r="FS49" s="19" t="str">
        <f>FM49</f>
        <v>クラス393</v>
      </c>
      <c r="FT49" s="17">
        <f ca="1">OFFSET(Gemini抽出データ!$A$1,FS43,4)</f>
        <v>0</v>
      </c>
      <c r="FU49" s="17" t="str">
        <f ca="1">IF(OFFSET(Gemini抽出データ!$A$1,FS43,5)=0,"",OFFSET(Gemini抽出データ!$A$1,FS43,5))</f>
        <v/>
      </c>
      <c r="FV49" s="16" t="str">
        <f>FS49</f>
        <v>クラス393</v>
      </c>
      <c r="FW49" s="17">
        <f ca="1">OFFSET(Gemini抽出データ!$A$1,FV43,4)</f>
        <v>0</v>
      </c>
      <c r="FX49" s="18" t="str">
        <f ca="1">IF(OFFSET(Gemini抽出データ!$A$1,FV43,5)=0,"",OFFSET(Gemini抽出データ!$A$1,FV43,5))</f>
        <v/>
      </c>
      <c r="FY49" s="16" t="str">
        <f>"クラス"&amp;FY$1</f>
        <v>クラス421</v>
      </c>
      <c r="FZ49" s="17">
        <f ca="1">OFFSET(Gemini抽出データ!$A$1,FY43,4)</f>
        <v>0</v>
      </c>
      <c r="GA49" s="17" t="str">
        <f ca="1">IF(OFFSET(Gemini抽出データ!$A$1,FY43,5)=0,"",OFFSET(Gemini抽出データ!$A$1,FY43,5))</f>
        <v/>
      </c>
      <c r="GB49" s="16" t="str">
        <f>FY49</f>
        <v>クラス421</v>
      </c>
      <c r="GC49" s="17">
        <f ca="1">OFFSET(Gemini抽出データ!$A$1,GB43,4)</f>
        <v>0</v>
      </c>
      <c r="GD49" s="18" t="str">
        <f ca="1">IF(OFFSET(Gemini抽出データ!$A$1,GB43,5)=0,"",OFFSET(Gemini抽出データ!$A$1,GB43,5))</f>
        <v/>
      </c>
      <c r="GE49" s="19" t="str">
        <f>FY49</f>
        <v>クラス421</v>
      </c>
      <c r="GF49" s="17">
        <f ca="1">OFFSET(Gemini抽出データ!$A$1,GE43,4)</f>
        <v>0</v>
      </c>
      <c r="GG49" s="17" t="str">
        <f ca="1">IF(OFFSET(Gemini抽出データ!$A$1,GE43,5)=0,"",OFFSET(Gemini抽出データ!$A$1,GE43,5))</f>
        <v/>
      </c>
      <c r="GH49" s="16" t="str">
        <f>GE49</f>
        <v>クラス421</v>
      </c>
      <c r="GI49" s="17">
        <f ca="1">OFFSET(Gemini抽出データ!$A$1,GH43,4)</f>
        <v>0</v>
      </c>
      <c r="GJ49" s="18" t="str">
        <f ca="1">IF(OFFSET(Gemini抽出データ!$A$1,GH43,5)=0,"",OFFSET(Gemini抽出データ!$A$1,GH43,5))</f>
        <v/>
      </c>
      <c r="GK49" s="16" t="str">
        <f>"クラス"&amp;GK$1</f>
        <v>クラス449</v>
      </c>
      <c r="GL49" s="17">
        <f ca="1">OFFSET(Gemini抽出データ!$A$1,GK43,4)</f>
        <v>0</v>
      </c>
      <c r="GM49" s="17" t="str">
        <f ca="1">IF(OFFSET(Gemini抽出データ!$A$1,GK43,5)=0,"",OFFSET(Gemini抽出データ!$A$1,GK43,5))</f>
        <v/>
      </c>
      <c r="GN49" s="16" t="str">
        <f>GK49</f>
        <v>クラス449</v>
      </c>
      <c r="GO49" s="17">
        <f ca="1">OFFSET(Gemini抽出データ!$A$1,GN43,4)</f>
        <v>0</v>
      </c>
      <c r="GP49" s="18" t="str">
        <f ca="1">IF(OFFSET(Gemini抽出データ!$A$1,GN43,5)=0,"",OFFSET(Gemini抽出データ!$A$1,GN43,5))</f>
        <v/>
      </c>
      <c r="GQ49" s="19" t="str">
        <f>GK49</f>
        <v>クラス449</v>
      </c>
      <c r="GR49" s="17">
        <f ca="1">OFFSET(Gemini抽出データ!$A$1,GQ43,4)</f>
        <v>0</v>
      </c>
      <c r="GS49" s="17" t="str">
        <f ca="1">IF(OFFSET(Gemini抽出データ!$A$1,GQ43,5)=0,"",OFFSET(Gemini抽出データ!$A$1,GQ43,5))</f>
        <v/>
      </c>
      <c r="GT49" s="16" t="str">
        <f>GQ49</f>
        <v>クラス449</v>
      </c>
      <c r="GU49" s="17">
        <f ca="1">OFFSET(Gemini抽出データ!$A$1,GT43,4)</f>
        <v>0</v>
      </c>
      <c r="GV49" s="18" t="str">
        <f ca="1">IF(OFFSET(Gemini抽出データ!$A$1,GT43,5)=0,"",OFFSET(Gemini抽出データ!$A$1,GT43,5))</f>
        <v/>
      </c>
      <c r="GW49" s="16" t="str">
        <f>"クラス"&amp;GW$1</f>
        <v>クラス477</v>
      </c>
      <c r="GX49" s="17">
        <f ca="1">OFFSET(Gemini抽出データ!$A$1,GW43,4)</f>
        <v>0</v>
      </c>
      <c r="GY49" s="17" t="str">
        <f ca="1">IF(OFFSET(Gemini抽出データ!$A$1,GW43,5)=0,"",OFFSET(Gemini抽出データ!$A$1,GW43,5))</f>
        <v/>
      </c>
      <c r="GZ49" s="16" t="str">
        <f>GW49</f>
        <v>クラス477</v>
      </c>
      <c r="HA49" s="17">
        <f ca="1">OFFSET(Gemini抽出データ!$A$1,GZ43,4)</f>
        <v>0</v>
      </c>
      <c r="HB49" s="18" t="str">
        <f ca="1">IF(OFFSET(Gemini抽出データ!$A$1,GZ43,5)=0,"",OFFSET(Gemini抽出データ!$A$1,GZ43,5))</f>
        <v/>
      </c>
      <c r="HC49" s="19" t="str">
        <f>GW49</f>
        <v>クラス477</v>
      </c>
      <c r="HD49" s="17">
        <f ca="1">OFFSET(Gemini抽出データ!$A$1,HC43,4)</f>
        <v>0</v>
      </c>
      <c r="HE49" s="17" t="str">
        <f ca="1">IF(OFFSET(Gemini抽出データ!$A$1,HC43,5)=0,"",OFFSET(Gemini抽出データ!$A$1,HC43,5))</f>
        <v/>
      </c>
      <c r="HF49" s="16" t="str">
        <f>HC49</f>
        <v>クラス477</v>
      </c>
      <c r="HG49" s="17">
        <f ca="1">OFFSET(Gemini抽出データ!$A$1,HF43,4)</f>
        <v>0</v>
      </c>
      <c r="HH49" s="18" t="str">
        <f ca="1">IF(OFFSET(Gemini抽出データ!$A$1,HF43,5)=0,"",OFFSET(Gemini抽出データ!$A$1,HF43,5))</f>
        <v/>
      </c>
      <c r="HI49" s="16" t="str">
        <f>"クラス"&amp;HI$1</f>
        <v>クラス505</v>
      </c>
      <c r="HJ49" s="17">
        <f ca="1">OFFSET(Gemini抽出データ!$A$1,HI43,4)</f>
        <v>0</v>
      </c>
      <c r="HK49" s="17" t="str">
        <f ca="1">IF(OFFSET(Gemini抽出データ!$A$1,HI43,5)=0,"",OFFSET(Gemini抽出データ!$A$1,HI43,5))</f>
        <v/>
      </c>
      <c r="HL49" s="16" t="str">
        <f>HI49</f>
        <v>クラス505</v>
      </c>
      <c r="HM49" s="17">
        <f ca="1">OFFSET(Gemini抽出データ!$A$1,HL43,4)</f>
        <v>0</v>
      </c>
      <c r="HN49" s="18" t="str">
        <f ca="1">IF(OFFSET(Gemini抽出データ!$A$1,HL43,5)=0,"",OFFSET(Gemini抽出データ!$A$1,HL43,5))</f>
        <v/>
      </c>
      <c r="HO49" s="19" t="str">
        <f>HI49</f>
        <v>クラス505</v>
      </c>
      <c r="HP49" s="17">
        <f ca="1">OFFSET(Gemini抽出データ!$A$1,HO43,4)</f>
        <v>0</v>
      </c>
      <c r="HQ49" s="17" t="str">
        <f ca="1">IF(OFFSET(Gemini抽出データ!$A$1,HO43,5)=0,"",OFFSET(Gemini抽出データ!$A$1,HO43,5))</f>
        <v/>
      </c>
      <c r="HR49" s="16" t="str">
        <f>HO49</f>
        <v>クラス505</v>
      </c>
      <c r="HS49" s="17">
        <f ca="1">OFFSET(Gemini抽出データ!$A$1,HR43,4)</f>
        <v>0</v>
      </c>
      <c r="HT49" s="18" t="str">
        <f ca="1">IF(OFFSET(Gemini抽出データ!$A$1,HR43,5)=0,"",OFFSET(Gemini抽出データ!$A$1,HR43,5))</f>
        <v/>
      </c>
      <c r="HU49" t="e">
        <f ca="1">OFFSET(Gemini抽出データ!$A$1,#REF!,4)</f>
        <v>#REF!</v>
      </c>
      <c r="HV49" t="e">
        <f ca="1">IF(OFFSET(Gemini抽出データ!$A$1,#REF!,5)=0,"",OFFSET(Gemini抽出データ!$A$1,#REF!,5))</f>
        <v>#REF!</v>
      </c>
    </row>
  </sheetData>
  <mergeCells count="1617">
    <mergeCell ref="GI47:GJ48"/>
    <mergeCell ref="GL47:GM48"/>
    <mergeCell ref="GL26:GM27"/>
    <mergeCell ref="FN29:FO29"/>
    <mergeCell ref="GI29:GJ29"/>
    <mergeCell ref="GL29:GM29"/>
    <mergeCell ref="FN31:FO32"/>
    <mergeCell ref="GI31:GJ32"/>
    <mergeCell ref="GL31:GM32"/>
    <mergeCell ref="GL17:GM18"/>
    <mergeCell ref="FN19:FO20"/>
    <mergeCell ref="GI19:GJ20"/>
    <mergeCell ref="GL19:GM20"/>
    <mergeCell ref="FN22:FO22"/>
    <mergeCell ref="GI22:GJ22"/>
    <mergeCell ref="GL22:GM22"/>
    <mergeCell ref="DX47:DY48"/>
    <mergeCell ref="FN1:FO1"/>
    <mergeCell ref="GI1:GJ1"/>
    <mergeCell ref="GL1:GM1"/>
    <mergeCell ref="FN3:FO4"/>
    <mergeCell ref="GI3:GJ4"/>
    <mergeCell ref="GL3:GM4"/>
    <mergeCell ref="FN5:FO6"/>
    <mergeCell ref="GI5:GJ6"/>
    <mergeCell ref="GL5:GM6"/>
    <mergeCell ref="FN8:FO8"/>
    <mergeCell ref="GI8:GJ8"/>
    <mergeCell ref="GL8:GM8"/>
    <mergeCell ref="FN10:FO11"/>
    <mergeCell ref="GI10:GJ11"/>
    <mergeCell ref="GL10:GM11"/>
    <mergeCell ref="DC38:DD39"/>
    <mergeCell ref="DX38:DY39"/>
    <mergeCell ref="DC40:DD41"/>
    <mergeCell ref="DX40:DY41"/>
    <mergeCell ref="DC43:DD43"/>
    <mergeCell ref="DX43:DY43"/>
    <mergeCell ref="DX31:DY32"/>
    <mergeCell ref="DC33:DD34"/>
    <mergeCell ref="DX33:DY34"/>
    <mergeCell ref="DC36:DD36"/>
    <mergeCell ref="DX36:DY36"/>
    <mergeCell ref="DX22:DY22"/>
    <mergeCell ref="DC24:DD25"/>
    <mergeCell ref="DX24:DY25"/>
    <mergeCell ref="DC26:DD27"/>
    <mergeCell ref="DX26:DY27"/>
    <mergeCell ref="AR45:AS46"/>
    <mergeCell ref="AR47:AS48"/>
    <mergeCell ref="DC1:DD1"/>
    <mergeCell ref="DX1:DY1"/>
    <mergeCell ref="DC3:DD4"/>
    <mergeCell ref="DX3:DY4"/>
    <mergeCell ref="DC5:DD6"/>
    <mergeCell ref="DX5:DY6"/>
    <mergeCell ref="DC8:DD8"/>
    <mergeCell ref="DX8:DY8"/>
    <mergeCell ref="DC10:DD11"/>
    <mergeCell ref="DX10:DY11"/>
    <mergeCell ref="DC12:DD13"/>
    <mergeCell ref="DX12:DY13"/>
    <mergeCell ref="DC15:DD15"/>
    <mergeCell ref="DX15:DY15"/>
    <mergeCell ref="AR33:AS34"/>
    <mergeCell ref="AR36:AS36"/>
    <mergeCell ref="AR38:AS39"/>
    <mergeCell ref="AR40:AS41"/>
    <mergeCell ref="AR43:AS43"/>
    <mergeCell ref="AR1:AS1"/>
    <mergeCell ref="AR3:AS4"/>
    <mergeCell ref="AR5:AS6"/>
    <mergeCell ref="AR8:AS8"/>
    <mergeCell ref="AR10:AS11"/>
    <mergeCell ref="AR12:AS13"/>
    <mergeCell ref="AR15:AS15"/>
    <mergeCell ref="AR17:AS18"/>
    <mergeCell ref="AR19:AS20"/>
    <mergeCell ref="AR22:AS22"/>
    <mergeCell ref="AR24:AS25"/>
    <mergeCell ref="AR26:AS27"/>
    <mergeCell ref="AR29:AS29"/>
    <mergeCell ref="HU47:HV48"/>
    <mergeCell ref="HU45:HV46"/>
    <mergeCell ref="HU43:HV43"/>
    <mergeCell ref="HU40:HV41"/>
    <mergeCell ref="HU38:HV39"/>
    <mergeCell ref="HU36:HV36"/>
    <mergeCell ref="HU33:HV34"/>
    <mergeCell ref="HU31:HV32"/>
    <mergeCell ref="HU29:HV29"/>
    <mergeCell ref="HU26:HV27"/>
    <mergeCell ref="HU24:HV25"/>
    <mergeCell ref="HU22:HV22"/>
    <mergeCell ref="HU19:HV20"/>
    <mergeCell ref="HU17:HV18"/>
    <mergeCell ref="HU15:HV15"/>
    <mergeCell ref="HU12:HV13"/>
    <mergeCell ref="HU10:HV11"/>
    <mergeCell ref="HU8:HV8"/>
    <mergeCell ref="HU5:HV6"/>
    <mergeCell ref="HU3:HV4"/>
    <mergeCell ref="HU1:HV1"/>
    <mergeCell ref="GO47:GP48"/>
    <mergeCell ref="GR47:GS48"/>
    <mergeCell ref="GU47:GV48"/>
    <mergeCell ref="GX47:GY48"/>
    <mergeCell ref="HA47:HB48"/>
    <mergeCell ref="HD47:HE48"/>
    <mergeCell ref="HG47:HH48"/>
    <mergeCell ref="HJ47:HK48"/>
    <mergeCell ref="HM47:HN48"/>
    <mergeCell ref="HP47:HQ48"/>
    <mergeCell ref="HS47:HT48"/>
    <mergeCell ref="GO43:GP43"/>
    <mergeCell ref="GR43:GS43"/>
    <mergeCell ref="GU43:GV43"/>
    <mergeCell ref="GX43:GY43"/>
    <mergeCell ref="HA43:HB43"/>
    <mergeCell ref="HD43:HE43"/>
    <mergeCell ref="HG43:HH43"/>
    <mergeCell ref="HJ43:HK43"/>
    <mergeCell ref="HM43:HN43"/>
    <mergeCell ref="HP43:HQ43"/>
    <mergeCell ref="HS43:HT43"/>
    <mergeCell ref="GO38:GP39"/>
    <mergeCell ref="GR38:GS39"/>
    <mergeCell ref="GU38:GV39"/>
    <mergeCell ref="GX38:GY39"/>
    <mergeCell ref="HA38:HB39"/>
    <mergeCell ref="HD38:HE39"/>
    <mergeCell ref="HG38:HH39"/>
    <mergeCell ref="HJ38:HK39"/>
    <mergeCell ref="HM38:HN39"/>
    <mergeCell ref="HP38:HQ39"/>
    <mergeCell ref="HS38:HT39"/>
    <mergeCell ref="GO33:GP34"/>
    <mergeCell ref="GR33:GS34"/>
    <mergeCell ref="GU33:GV34"/>
    <mergeCell ref="GX33:GY34"/>
    <mergeCell ref="HA33:HB34"/>
    <mergeCell ref="HD33:HE34"/>
    <mergeCell ref="HG33:HH34"/>
    <mergeCell ref="HJ33:HK34"/>
    <mergeCell ref="HM33:HN34"/>
    <mergeCell ref="HP33:HQ34"/>
    <mergeCell ref="HS33:HT34"/>
    <mergeCell ref="HD31:HE32"/>
    <mergeCell ref="HG31:HH32"/>
    <mergeCell ref="HJ31:HK32"/>
    <mergeCell ref="HM31:HN32"/>
    <mergeCell ref="HP31:HQ32"/>
    <mergeCell ref="HG26:HH27"/>
    <mergeCell ref="HJ26:HK27"/>
    <mergeCell ref="HM26:HN27"/>
    <mergeCell ref="HP26:HQ27"/>
    <mergeCell ref="HS26:HT27"/>
    <mergeCell ref="HG22:HH22"/>
    <mergeCell ref="HJ22:HK22"/>
    <mergeCell ref="HM22:HN22"/>
    <mergeCell ref="HP22:HQ22"/>
    <mergeCell ref="HS22:HT22"/>
    <mergeCell ref="HG17:HH18"/>
    <mergeCell ref="HJ17:HK18"/>
    <mergeCell ref="HM17:HN18"/>
    <mergeCell ref="HP17:HQ18"/>
    <mergeCell ref="HS17:HT18"/>
    <mergeCell ref="HG12:HH13"/>
    <mergeCell ref="HJ12:HK13"/>
    <mergeCell ref="HM12:HN13"/>
    <mergeCell ref="HP12:HQ13"/>
    <mergeCell ref="HS12:HT13"/>
    <mergeCell ref="HG8:HH8"/>
    <mergeCell ref="HJ8:HK8"/>
    <mergeCell ref="HM8:HN8"/>
    <mergeCell ref="HP8:HQ8"/>
    <mergeCell ref="HS8:HT8"/>
    <mergeCell ref="HJ3:HK4"/>
    <mergeCell ref="HM3:HN4"/>
    <mergeCell ref="HP3:HQ4"/>
    <mergeCell ref="HS3:HT4"/>
    <mergeCell ref="FT47:FU48"/>
    <mergeCell ref="FW47:FX48"/>
    <mergeCell ref="FZ47:GA48"/>
    <mergeCell ref="GC47:GD48"/>
    <mergeCell ref="GF47:GG48"/>
    <mergeCell ref="FE47:FF48"/>
    <mergeCell ref="FH47:FI48"/>
    <mergeCell ref="FK47:FL48"/>
    <mergeCell ref="FQ47:FR48"/>
    <mergeCell ref="FN47:FO48"/>
    <mergeCell ref="EP47:EQ48"/>
    <mergeCell ref="ES47:ET48"/>
    <mergeCell ref="EV47:EW48"/>
    <mergeCell ref="EY47:EZ48"/>
    <mergeCell ref="FB47:FC48"/>
    <mergeCell ref="EA47:EB48"/>
    <mergeCell ref="ED47:EE48"/>
    <mergeCell ref="EG47:EH48"/>
    <mergeCell ref="EJ47:EK48"/>
    <mergeCell ref="EM47:EN48"/>
    <mergeCell ref="FT45:FU46"/>
    <mergeCell ref="FW45:FX46"/>
    <mergeCell ref="FZ45:GA46"/>
    <mergeCell ref="GC45:GD46"/>
    <mergeCell ref="GF45:GG46"/>
    <mergeCell ref="ES45:ET46"/>
    <mergeCell ref="EV45:EW46"/>
    <mergeCell ref="EY45:EZ46"/>
    <mergeCell ref="FB45:FC46"/>
    <mergeCell ref="FE45:FF46"/>
    <mergeCell ref="FT40:FU41"/>
    <mergeCell ref="FW40:FX41"/>
    <mergeCell ref="FZ40:GA41"/>
    <mergeCell ref="GC40:GD41"/>
    <mergeCell ref="GF40:GG41"/>
    <mergeCell ref="ES40:ET41"/>
    <mergeCell ref="EV40:EW41"/>
    <mergeCell ref="EY40:EZ41"/>
    <mergeCell ref="FB40:FC41"/>
    <mergeCell ref="FE40:FF41"/>
    <mergeCell ref="FT36:FU36"/>
    <mergeCell ref="FW36:FX36"/>
    <mergeCell ref="FZ36:GA36"/>
    <mergeCell ref="GC36:GD36"/>
    <mergeCell ref="GF36:GG36"/>
    <mergeCell ref="FW31:FX32"/>
    <mergeCell ref="FZ31:GA32"/>
    <mergeCell ref="GC31:GD32"/>
    <mergeCell ref="GF31:GG32"/>
    <mergeCell ref="EA33:EB34"/>
    <mergeCell ref="ED33:EE34"/>
    <mergeCell ref="EG33:EH34"/>
    <mergeCell ref="EJ33:EK34"/>
    <mergeCell ref="EM33:EN34"/>
    <mergeCell ref="EP33:EQ34"/>
    <mergeCell ref="ES33:ET34"/>
    <mergeCell ref="EV33:EW34"/>
    <mergeCell ref="EY33:EZ34"/>
    <mergeCell ref="FB33:FC34"/>
    <mergeCell ref="FE33:FF34"/>
    <mergeCell ref="FH33:FI34"/>
    <mergeCell ref="EV31:EW32"/>
    <mergeCell ref="EY31:EZ32"/>
    <mergeCell ref="FB31:FC32"/>
    <mergeCell ref="FE31:FF32"/>
    <mergeCell ref="FH31:FI32"/>
    <mergeCell ref="FK26:FL27"/>
    <mergeCell ref="FQ26:FR27"/>
    <mergeCell ref="FT26:FU27"/>
    <mergeCell ref="FW26:FX27"/>
    <mergeCell ref="FN26:FO27"/>
    <mergeCell ref="FK22:FL22"/>
    <mergeCell ref="FQ22:FR22"/>
    <mergeCell ref="FT22:FU22"/>
    <mergeCell ref="FW22:FX22"/>
    <mergeCell ref="FK17:FL18"/>
    <mergeCell ref="FQ17:FR18"/>
    <mergeCell ref="FT17:FU18"/>
    <mergeCell ref="FW17:FX18"/>
    <mergeCell ref="FN17:FO18"/>
    <mergeCell ref="FK12:FL13"/>
    <mergeCell ref="FQ12:FR13"/>
    <mergeCell ref="FT12:FU13"/>
    <mergeCell ref="FW12:FX13"/>
    <mergeCell ref="FN12:FO13"/>
    <mergeCell ref="FK8:FL8"/>
    <mergeCell ref="FQ8:FR8"/>
    <mergeCell ref="FT8:FU8"/>
    <mergeCell ref="FW8:FX8"/>
    <mergeCell ref="FK3:FL4"/>
    <mergeCell ref="FQ3:FR4"/>
    <mergeCell ref="FT3:FU4"/>
    <mergeCell ref="FW3:FX4"/>
    <mergeCell ref="DI47:DJ48"/>
    <mergeCell ref="DL47:DM48"/>
    <mergeCell ref="DO47:DP48"/>
    <mergeCell ref="DR47:DS48"/>
    <mergeCell ref="DU47:DV48"/>
    <mergeCell ref="CT47:CU48"/>
    <mergeCell ref="CW47:CX48"/>
    <mergeCell ref="CZ47:DA48"/>
    <mergeCell ref="DF47:DG48"/>
    <mergeCell ref="DC47:DD48"/>
    <mergeCell ref="CE47:CF48"/>
    <mergeCell ref="CH47:CI48"/>
    <mergeCell ref="CK47:CL48"/>
    <mergeCell ref="CN47:CO48"/>
    <mergeCell ref="CQ47:CR48"/>
    <mergeCell ref="BP47:BQ48"/>
    <mergeCell ref="BS47:BT48"/>
    <mergeCell ref="BV47:BW48"/>
    <mergeCell ref="BY47:BZ48"/>
    <mergeCell ref="CB47:CC48"/>
    <mergeCell ref="CZ45:DA46"/>
    <mergeCell ref="DF45:DG46"/>
    <mergeCell ref="DI45:DJ46"/>
    <mergeCell ref="DL45:DM46"/>
    <mergeCell ref="DC45:DD46"/>
    <mergeCell ref="BP45:BQ46"/>
    <mergeCell ref="BS45:BT46"/>
    <mergeCell ref="BV45:BW46"/>
    <mergeCell ref="BY45:BZ46"/>
    <mergeCell ref="CB45:CC46"/>
    <mergeCell ref="CZ40:DA41"/>
    <mergeCell ref="DF40:DG41"/>
    <mergeCell ref="DI40:DJ41"/>
    <mergeCell ref="DL40:DM41"/>
    <mergeCell ref="BP40:BQ41"/>
    <mergeCell ref="BS40:BT41"/>
    <mergeCell ref="BV40:BW41"/>
    <mergeCell ref="BY40:BZ41"/>
    <mergeCell ref="CB40:CC41"/>
    <mergeCell ref="CZ36:DA36"/>
    <mergeCell ref="DF36:DG36"/>
    <mergeCell ref="DI36:DJ36"/>
    <mergeCell ref="DL36:DM36"/>
    <mergeCell ref="BP36:BQ36"/>
    <mergeCell ref="BS36:BT36"/>
    <mergeCell ref="BV36:BW36"/>
    <mergeCell ref="BY36:BZ36"/>
    <mergeCell ref="CB36:CC36"/>
    <mergeCell ref="CZ31:DA32"/>
    <mergeCell ref="DF31:DG32"/>
    <mergeCell ref="DI31:DJ32"/>
    <mergeCell ref="DL31:DM32"/>
    <mergeCell ref="DC31:DD32"/>
    <mergeCell ref="BP31:BQ32"/>
    <mergeCell ref="BS31:BT32"/>
    <mergeCell ref="BV31:BW32"/>
    <mergeCell ref="BY31:BZ32"/>
    <mergeCell ref="CB31:CC32"/>
    <mergeCell ref="CZ26:DA27"/>
    <mergeCell ref="DF26:DG27"/>
    <mergeCell ref="DI26:DJ27"/>
    <mergeCell ref="DL26:DM27"/>
    <mergeCell ref="BP26:BQ27"/>
    <mergeCell ref="BS26:BT27"/>
    <mergeCell ref="BV26:BW27"/>
    <mergeCell ref="BY26:BZ27"/>
    <mergeCell ref="CB26:CC27"/>
    <mergeCell ref="CZ22:DA22"/>
    <mergeCell ref="DF22:DG22"/>
    <mergeCell ref="DI22:DJ22"/>
    <mergeCell ref="DL22:DM22"/>
    <mergeCell ref="DC22:DD22"/>
    <mergeCell ref="BP22:BQ22"/>
    <mergeCell ref="BS22:BT22"/>
    <mergeCell ref="BV22:BW22"/>
    <mergeCell ref="BY22:BZ22"/>
    <mergeCell ref="CB22:CC22"/>
    <mergeCell ref="CZ17:DA18"/>
    <mergeCell ref="DF17:DG18"/>
    <mergeCell ref="DI17:DJ18"/>
    <mergeCell ref="DL17:DM18"/>
    <mergeCell ref="DC17:DD18"/>
    <mergeCell ref="BP17:BQ18"/>
    <mergeCell ref="BS17:BT18"/>
    <mergeCell ref="BV17:BW18"/>
    <mergeCell ref="BY17:BZ18"/>
    <mergeCell ref="CB17:CC18"/>
    <mergeCell ref="CZ12:DA13"/>
    <mergeCell ref="DF12:DG13"/>
    <mergeCell ref="DI12:DJ13"/>
    <mergeCell ref="DL12:DM13"/>
    <mergeCell ref="BV12:BW13"/>
    <mergeCell ref="BY12:BZ13"/>
    <mergeCell ref="CB12:CC13"/>
    <mergeCell ref="CE12:CF13"/>
    <mergeCell ref="CH12:CI13"/>
    <mergeCell ref="CZ8:DA8"/>
    <mergeCell ref="DF8:DG8"/>
    <mergeCell ref="DI8:DJ8"/>
    <mergeCell ref="DL8:DM8"/>
    <mergeCell ref="CZ3:DA4"/>
    <mergeCell ref="DF3:DG4"/>
    <mergeCell ref="DI3:DJ4"/>
    <mergeCell ref="DL3:DM4"/>
    <mergeCell ref="BJ47:BK48"/>
    <mergeCell ref="BM47:BN48"/>
    <mergeCell ref="BP1:BQ1"/>
    <mergeCell ref="BS1:BT1"/>
    <mergeCell ref="BV1:BW1"/>
    <mergeCell ref="BP3:BQ4"/>
    <mergeCell ref="BS3:BT4"/>
    <mergeCell ref="BV3:BW4"/>
    <mergeCell ref="BP5:BQ6"/>
    <mergeCell ref="BS5:BT6"/>
    <mergeCell ref="BV5:BW6"/>
    <mergeCell ref="BP8:BQ8"/>
    <mergeCell ref="BS8:BT8"/>
    <mergeCell ref="BV8:BW8"/>
    <mergeCell ref="BP10:BQ11"/>
    <mergeCell ref="BS10:BT11"/>
    <mergeCell ref="AU47:AV48"/>
    <mergeCell ref="AX47:AY48"/>
    <mergeCell ref="BA47:BB48"/>
    <mergeCell ref="BD47:BE48"/>
    <mergeCell ref="BG47:BH48"/>
    <mergeCell ref="AC47:AD48"/>
    <mergeCell ref="AF47:AG48"/>
    <mergeCell ref="AI47:AJ48"/>
    <mergeCell ref="AL47:AM48"/>
    <mergeCell ref="AO47:AP48"/>
    <mergeCell ref="AO40:AP41"/>
    <mergeCell ref="AC43:AD43"/>
    <mergeCell ref="AF43:AG43"/>
    <mergeCell ref="AI43:AJ43"/>
    <mergeCell ref="AL43:AM43"/>
    <mergeCell ref="AO43:AP43"/>
    <mergeCell ref="AO31:AP32"/>
    <mergeCell ref="AC33:AD34"/>
    <mergeCell ref="AF33:AG34"/>
    <mergeCell ref="AI33:AJ34"/>
    <mergeCell ref="AL33:AM34"/>
    <mergeCell ref="AO33:AP34"/>
    <mergeCell ref="AO22:AP22"/>
    <mergeCell ref="AC24:AD25"/>
    <mergeCell ref="AF24:AG25"/>
    <mergeCell ref="AI24:AJ25"/>
    <mergeCell ref="AL24:AM25"/>
    <mergeCell ref="AO24:AP25"/>
    <mergeCell ref="T47:U48"/>
    <mergeCell ref="W47:X48"/>
    <mergeCell ref="Z47:AA48"/>
    <mergeCell ref="AC1:AD1"/>
    <mergeCell ref="AF1:AG1"/>
    <mergeCell ref="AC3:AD4"/>
    <mergeCell ref="AF3:AG4"/>
    <mergeCell ref="AC5:AD6"/>
    <mergeCell ref="AF5:AG6"/>
    <mergeCell ref="AC8:AD8"/>
    <mergeCell ref="AF8:AG8"/>
    <mergeCell ref="AC10:AD11"/>
    <mergeCell ref="AF10:AG11"/>
    <mergeCell ref="AC12:AD13"/>
    <mergeCell ref="AF12:AG13"/>
    <mergeCell ref="AC15:AD15"/>
    <mergeCell ref="T1:U1"/>
    <mergeCell ref="W1:X1"/>
    <mergeCell ref="Z1:AA1"/>
    <mergeCell ref="T3:U4"/>
    <mergeCell ref="W3:X4"/>
    <mergeCell ref="Z3:AA4"/>
    <mergeCell ref="T5:U6"/>
    <mergeCell ref="W5:X6"/>
    <mergeCell ref="Z5:AA6"/>
    <mergeCell ref="T8:U8"/>
    <mergeCell ref="W8:X8"/>
    <mergeCell ref="Z8:AA8"/>
    <mergeCell ref="HM45:HN46"/>
    <mergeCell ref="HP45:HQ46"/>
    <mergeCell ref="HS45:HT46"/>
    <mergeCell ref="HM40:HN41"/>
    <mergeCell ref="HP40:HQ41"/>
    <mergeCell ref="HS40:HT41"/>
    <mergeCell ref="HM36:HN36"/>
    <mergeCell ref="HP36:HQ36"/>
    <mergeCell ref="HS36:HT36"/>
    <mergeCell ref="HM29:HN29"/>
    <mergeCell ref="HP29:HQ29"/>
    <mergeCell ref="HS29:HT29"/>
    <mergeCell ref="HS31:HT32"/>
    <mergeCell ref="HM24:HN25"/>
    <mergeCell ref="HP24:HQ25"/>
    <mergeCell ref="HS24:HT25"/>
    <mergeCell ref="HM19:HN20"/>
    <mergeCell ref="HP19:HQ20"/>
    <mergeCell ref="HS19:HT20"/>
    <mergeCell ref="HM15:HN15"/>
    <mergeCell ref="HP15:HQ15"/>
    <mergeCell ref="HS15:HT15"/>
    <mergeCell ref="HM10:HN11"/>
    <mergeCell ref="HP10:HQ11"/>
    <mergeCell ref="HS10:HT11"/>
    <mergeCell ref="HM5:HN6"/>
    <mergeCell ref="HP5:HQ6"/>
    <mergeCell ref="HS5:HT6"/>
    <mergeCell ref="HM1:HN1"/>
    <mergeCell ref="HP1:HQ1"/>
    <mergeCell ref="HS1:HT1"/>
    <mergeCell ref="GU1:GV1"/>
    <mergeCell ref="GU45:GV46"/>
    <mergeCell ref="GX45:GY46"/>
    <mergeCell ref="HA45:HB46"/>
    <mergeCell ref="HD45:HE46"/>
    <mergeCell ref="HG45:HH46"/>
    <mergeCell ref="HJ45:HK46"/>
    <mergeCell ref="GU40:GV41"/>
    <mergeCell ref="GX40:GY41"/>
    <mergeCell ref="HA40:HB41"/>
    <mergeCell ref="HD40:HE41"/>
    <mergeCell ref="HG40:HH41"/>
    <mergeCell ref="HJ40:HK41"/>
    <mergeCell ref="GU36:GV36"/>
    <mergeCell ref="GX36:GY36"/>
    <mergeCell ref="HA36:HB36"/>
    <mergeCell ref="HD36:HE36"/>
    <mergeCell ref="HG36:HH36"/>
    <mergeCell ref="HJ36:HK36"/>
    <mergeCell ref="GU29:GV29"/>
    <mergeCell ref="GX29:GY29"/>
    <mergeCell ref="HA29:HB29"/>
    <mergeCell ref="HD29:HE29"/>
    <mergeCell ref="HG29:HH29"/>
    <mergeCell ref="HJ29:HK29"/>
    <mergeCell ref="GU31:GV32"/>
    <mergeCell ref="GX31:GY32"/>
    <mergeCell ref="HA31:HB32"/>
    <mergeCell ref="GU24:GV25"/>
    <mergeCell ref="GX24:GY25"/>
    <mergeCell ref="HA24:HB25"/>
    <mergeCell ref="HD24:HE25"/>
    <mergeCell ref="HG24:HH25"/>
    <mergeCell ref="HJ24:HK25"/>
    <mergeCell ref="GU26:GV27"/>
    <mergeCell ref="GX26:GY27"/>
    <mergeCell ref="HA26:HB27"/>
    <mergeCell ref="HD26:HE27"/>
    <mergeCell ref="GU19:GV20"/>
    <mergeCell ref="GX19:GY20"/>
    <mergeCell ref="HA19:HB20"/>
    <mergeCell ref="HD19:HE20"/>
    <mergeCell ref="HG19:HH20"/>
    <mergeCell ref="HJ19:HK20"/>
    <mergeCell ref="GU22:GV22"/>
    <mergeCell ref="GX22:GY22"/>
    <mergeCell ref="HA22:HB22"/>
    <mergeCell ref="HD22:HE22"/>
    <mergeCell ref="GU15:GV15"/>
    <mergeCell ref="GX15:GY15"/>
    <mergeCell ref="HA15:HB15"/>
    <mergeCell ref="HD15:HE15"/>
    <mergeCell ref="HG15:HH15"/>
    <mergeCell ref="HJ15:HK15"/>
    <mergeCell ref="GU17:GV18"/>
    <mergeCell ref="GX17:GY18"/>
    <mergeCell ref="HA17:HB18"/>
    <mergeCell ref="HD17:HE18"/>
    <mergeCell ref="GU10:GV11"/>
    <mergeCell ref="GX10:GY11"/>
    <mergeCell ref="HA10:HB11"/>
    <mergeCell ref="HD10:HE11"/>
    <mergeCell ref="HG10:HH11"/>
    <mergeCell ref="HJ10:HK11"/>
    <mergeCell ref="GU12:GV13"/>
    <mergeCell ref="GX12:GY13"/>
    <mergeCell ref="HA12:HB13"/>
    <mergeCell ref="HD12:HE13"/>
    <mergeCell ref="GU5:GV6"/>
    <mergeCell ref="GX5:GY6"/>
    <mergeCell ref="HA5:HB6"/>
    <mergeCell ref="HD5:HE6"/>
    <mergeCell ref="HG5:HH6"/>
    <mergeCell ref="HJ5:HK6"/>
    <mergeCell ref="GU8:GV8"/>
    <mergeCell ref="GX8:GY8"/>
    <mergeCell ref="HA8:HB8"/>
    <mergeCell ref="HD8:HE8"/>
    <mergeCell ref="GX1:GY1"/>
    <mergeCell ref="HA1:HB1"/>
    <mergeCell ref="HD1:HE1"/>
    <mergeCell ref="HG1:HH1"/>
    <mergeCell ref="HJ1:HK1"/>
    <mergeCell ref="GU3:GV4"/>
    <mergeCell ref="GX3:GY4"/>
    <mergeCell ref="HA3:HB4"/>
    <mergeCell ref="HD3:HE4"/>
    <mergeCell ref="HG3:HH4"/>
    <mergeCell ref="GF43:GG43"/>
    <mergeCell ref="GO45:GP46"/>
    <mergeCell ref="GR45:GS46"/>
    <mergeCell ref="GI43:GJ43"/>
    <mergeCell ref="GL43:GM43"/>
    <mergeCell ref="GI45:GJ46"/>
    <mergeCell ref="GL45:GM46"/>
    <mergeCell ref="GF38:GG39"/>
    <mergeCell ref="GO40:GP41"/>
    <mergeCell ref="GR40:GS41"/>
    <mergeCell ref="GI38:GJ39"/>
    <mergeCell ref="GL38:GM39"/>
    <mergeCell ref="GI40:GJ41"/>
    <mergeCell ref="GL40:GM41"/>
    <mergeCell ref="GF33:GG34"/>
    <mergeCell ref="GO36:GP36"/>
    <mergeCell ref="GR36:GS36"/>
    <mergeCell ref="GI33:GJ34"/>
    <mergeCell ref="GL33:GM34"/>
    <mergeCell ref="GI36:GJ36"/>
    <mergeCell ref="GL36:GM36"/>
    <mergeCell ref="GF29:GG29"/>
    <mergeCell ref="GO29:GP29"/>
    <mergeCell ref="GR29:GS29"/>
    <mergeCell ref="GO31:GP32"/>
    <mergeCell ref="GR31:GS32"/>
    <mergeCell ref="GF24:GG25"/>
    <mergeCell ref="GF26:GG27"/>
    <mergeCell ref="GO24:GP25"/>
    <mergeCell ref="GR24:GS25"/>
    <mergeCell ref="GO26:GP27"/>
    <mergeCell ref="GR26:GS27"/>
    <mergeCell ref="GI24:GJ25"/>
    <mergeCell ref="GL24:GM25"/>
    <mergeCell ref="GI26:GJ27"/>
    <mergeCell ref="GF19:GG20"/>
    <mergeCell ref="GF22:GG22"/>
    <mergeCell ref="GO19:GP20"/>
    <mergeCell ref="GR19:GS20"/>
    <mergeCell ref="GO22:GP22"/>
    <mergeCell ref="GR22:GS22"/>
    <mergeCell ref="GF15:GG15"/>
    <mergeCell ref="GF17:GG18"/>
    <mergeCell ref="GO15:GP15"/>
    <mergeCell ref="GR15:GS15"/>
    <mergeCell ref="GO17:GP18"/>
    <mergeCell ref="GR17:GS18"/>
    <mergeCell ref="GI15:GJ15"/>
    <mergeCell ref="GL15:GM15"/>
    <mergeCell ref="GI17:GJ18"/>
    <mergeCell ref="GF10:GG11"/>
    <mergeCell ref="GF12:GG13"/>
    <mergeCell ref="GO10:GP11"/>
    <mergeCell ref="GR10:GS11"/>
    <mergeCell ref="GO12:GP13"/>
    <mergeCell ref="GR12:GS13"/>
    <mergeCell ref="GI12:GJ13"/>
    <mergeCell ref="GL12:GM13"/>
    <mergeCell ref="GF5:GG6"/>
    <mergeCell ref="GF8:GG8"/>
    <mergeCell ref="GO5:GP6"/>
    <mergeCell ref="GR5:GS6"/>
    <mergeCell ref="GO8:GP8"/>
    <mergeCell ref="GR8:GS8"/>
    <mergeCell ref="GF1:GG1"/>
    <mergeCell ref="GF3:GG4"/>
    <mergeCell ref="GO1:GP1"/>
    <mergeCell ref="GR1:GS1"/>
    <mergeCell ref="GO3:GP4"/>
    <mergeCell ref="GR3:GS4"/>
    <mergeCell ref="FQ43:FR43"/>
    <mergeCell ref="FT43:FU43"/>
    <mergeCell ref="FW43:FX43"/>
    <mergeCell ref="FZ43:GA43"/>
    <mergeCell ref="GC43:GD43"/>
    <mergeCell ref="FQ45:FR46"/>
    <mergeCell ref="FQ38:FR39"/>
    <mergeCell ref="FT38:FU39"/>
    <mergeCell ref="FW38:FX39"/>
    <mergeCell ref="FZ38:GA39"/>
    <mergeCell ref="GC38:GD39"/>
    <mergeCell ref="FQ40:FR41"/>
    <mergeCell ref="FQ33:FR34"/>
    <mergeCell ref="FT33:FU34"/>
    <mergeCell ref="FW33:FX34"/>
    <mergeCell ref="FZ33:GA34"/>
    <mergeCell ref="GC33:GD34"/>
    <mergeCell ref="FQ36:FR36"/>
    <mergeCell ref="FQ29:FR29"/>
    <mergeCell ref="FT29:FU29"/>
    <mergeCell ref="FW29:FX29"/>
    <mergeCell ref="FZ29:GA29"/>
    <mergeCell ref="GC29:GD29"/>
    <mergeCell ref="FQ31:FR32"/>
    <mergeCell ref="FT31:FU32"/>
    <mergeCell ref="FQ24:FR25"/>
    <mergeCell ref="FT24:FU25"/>
    <mergeCell ref="FW24:FX25"/>
    <mergeCell ref="FZ24:GA25"/>
    <mergeCell ref="GC24:GD25"/>
    <mergeCell ref="FZ26:GA27"/>
    <mergeCell ref="GC26:GD27"/>
    <mergeCell ref="FN24:FO25"/>
    <mergeCell ref="FQ19:FR20"/>
    <mergeCell ref="FT19:FU20"/>
    <mergeCell ref="FW19:FX20"/>
    <mergeCell ref="FZ19:GA20"/>
    <mergeCell ref="GC19:GD20"/>
    <mergeCell ref="FZ22:GA22"/>
    <mergeCell ref="GC22:GD22"/>
    <mergeCell ref="FQ15:FR15"/>
    <mergeCell ref="FT15:FU15"/>
    <mergeCell ref="FW15:FX15"/>
    <mergeCell ref="FZ15:GA15"/>
    <mergeCell ref="GC15:GD15"/>
    <mergeCell ref="FZ17:GA18"/>
    <mergeCell ref="GC17:GD18"/>
    <mergeCell ref="FN15:FO15"/>
    <mergeCell ref="FQ10:FR11"/>
    <mergeCell ref="FT10:FU11"/>
    <mergeCell ref="FW10:FX11"/>
    <mergeCell ref="FZ10:GA11"/>
    <mergeCell ref="GC10:GD11"/>
    <mergeCell ref="FZ12:GA13"/>
    <mergeCell ref="GC12:GD13"/>
    <mergeCell ref="FQ5:FR6"/>
    <mergeCell ref="FT5:FU6"/>
    <mergeCell ref="FW5:FX6"/>
    <mergeCell ref="FZ5:GA6"/>
    <mergeCell ref="GC5:GD6"/>
    <mergeCell ref="FZ8:GA8"/>
    <mergeCell ref="GC8:GD8"/>
    <mergeCell ref="FQ1:FR1"/>
    <mergeCell ref="FT1:FU1"/>
    <mergeCell ref="FW1:FX1"/>
    <mergeCell ref="FZ1:GA1"/>
    <mergeCell ref="GC1:GD1"/>
    <mergeCell ref="FZ3:GA4"/>
    <mergeCell ref="GC3:GD4"/>
    <mergeCell ref="EY43:EZ43"/>
    <mergeCell ref="FB43:FC43"/>
    <mergeCell ref="FE43:FF43"/>
    <mergeCell ref="FH43:FI43"/>
    <mergeCell ref="FK43:FL43"/>
    <mergeCell ref="FH45:FI46"/>
    <mergeCell ref="FK45:FL46"/>
    <mergeCell ref="FN43:FO43"/>
    <mergeCell ref="FN45:FO46"/>
    <mergeCell ref="EY38:EZ39"/>
    <mergeCell ref="FB38:FC39"/>
    <mergeCell ref="FE38:FF39"/>
    <mergeCell ref="FH38:FI39"/>
    <mergeCell ref="FK38:FL39"/>
    <mergeCell ref="FH40:FI41"/>
    <mergeCell ref="FK40:FL41"/>
    <mergeCell ref="FN38:FO39"/>
    <mergeCell ref="FN40:FO41"/>
    <mergeCell ref="FK33:FL34"/>
    <mergeCell ref="EY36:EZ36"/>
    <mergeCell ref="FB36:FC36"/>
    <mergeCell ref="FE36:FF36"/>
    <mergeCell ref="FH36:FI36"/>
    <mergeCell ref="FK36:FL36"/>
    <mergeCell ref="FN33:FO34"/>
    <mergeCell ref="FN36:FO36"/>
    <mergeCell ref="EY29:EZ29"/>
    <mergeCell ref="FB29:FC29"/>
    <mergeCell ref="FE29:FF29"/>
    <mergeCell ref="FH29:FI29"/>
    <mergeCell ref="FK29:FL29"/>
    <mergeCell ref="FK31:FL32"/>
    <mergeCell ref="EY24:EZ25"/>
    <mergeCell ref="FB24:FC25"/>
    <mergeCell ref="FE24:FF25"/>
    <mergeCell ref="FH24:FI25"/>
    <mergeCell ref="FK24:FL25"/>
    <mergeCell ref="EY26:EZ27"/>
    <mergeCell ref="FB26:FC27"/>
    <mergeCell ref="FE26:FF27"/>
    <mergeCell ref="FH26:FI27"/>
    <mergeCell ref="EY19:EZ20"/>
    <mergeCell ref="FB19:FC20"/>
    <mergeCell ref="FE19:FF20"/>
    <mergeCell ref="FH19:FI20"/>
    <mergeCell ref="FK19:FL20"/>
    <mergeCell ref="EY22:EZ22"/>
    <mergeCell ref="FB22:FC22"/>
    <mergeCell ref="FE22:FF22"/>
    <mergeCell ref="FH22:FI22"/>
    <mergeCell ref="EY15:EZ15"/>
    <mergeCell ref="FB15:FC15"/>
    <mergeCell ref="FE15:FF15"/>
    <mergeCell ref="FH15:FI15"/>
    <mergeCell ref="FK15:FL15"/>
    <mergeCell ref="EY17:EZ18"/>
    <mergeCell ref="FB17:FC18"/>
    <mergeCell ref="FE17:FF18"/>
    <mergeCell ref="FH17:FI18"/>
    <mergeCell ref="EY10:EZ11"/>
    <mergeCell ref="FB10:FC11"/>
    <mergeCell ref="FE10:FF11"/>
    <mergeCell ref="FH10:FI11"/>
    <mergeCell ref="FK10:FL11"/>
    <mergeCell ref="EY12:EZ13"/>
    <mergeCell ref="FB12:FC13"/>
    <mergeCell ref="FE12:FF13"/>
    <mergeCell ref="FH12:FI13"/>
    <mergeCell ref="EY5:EZ6"/>
    <mergeCell ref="FB5:FC6"/>
    <mergeCell ref="FE5:FF6"/>
    <mergeCell ref="FH5:FI6"/>
    <mergeCell ref="FK5:FL6"/>
    <mergeCell ref="EY8:EZ8"/>
    <mergeCell ref="FB8:FC8"/>
    <mergeCell ref="FE8:FF8"/>
    <mergeCell ref="FH8:FI8"/>
    <mergeCell ref="EY1:EZ1"/>
    <mergeCell ref="FB1:FC1"/>
    <mergeCell ref="FE1:FF1"/>
    <mergeCell ref="FH1:FI1"/>
    <mergeCell ref="FK1:FL1"/>
    <mergeCell ref="EY3:EZ4"/>
    <mergeCell ref="FB3:FC4"/>
    <mergeCell ref="FE3:FF4"/>
    <mergeCell ref="FH3:FI4"/>
    <mergeCell ref="EJ1:EK1"/>
    <mergeCell ref="EJ43:EK43"/>
    <mergeCell ref="EM43:EN43"/>
    <mergeCell ref="EP43:EQ43"/>
    <mergeCell ref="ES43:ET43"/>
    <mergeCell ref="EV43:EW43"/>
    <mergeCell ref="EJ45:EK46"/>
    <mergeCell ref="EM45:EN46"/>
    <mergeCell ref="EP45:EQ46"/>
    <mergeCell ref="EJ38:EK39"/>
    <mergeCell ref="EM38:EN39"/>
    <mergeCell ref="EP38:EQ39"/>
    <mergeCell ref="ES38:ET39"/>
    <mergeCell ref="EV38:EW39"/>
    <mergeCell ref="EJ40:EK41"/>
    <mergeCell ref="EM40:EN41"/>
    <mergeCell ref="EP40:EQ41"/>
    <mergeCell ref="EJ36:EK36"/>
    <mergeCell ref="EM36:EN36"/>
    <mergeCell ref="EP36:EQ36"/>
    <mergeCell ref="ES36:ET36"/>
    <mergeCell ref="EV36:EW36"/>
    <mergeCell ref="EJ29:EK29"/>
    <mergeCell ref="EM29:EN29"/>
    <mergeCell ref="EP29:EQ29"/>
    <mergeCell ref="ES29:ET29"/>
    <mergeCell ref="EV29:EW29"/>
    <mergeCell ref="EJ31:EK32"/>
    <mergeCell ref="EM31:EN32"/>
    <mergeCell ref="EP31:EQ32"/>
    <mergeCell ref="ES31:ET32"/>
    <mergeCell ref="EJ24:EK25"/>
    <mergeCell ref="EM24:EN25"/>
    <mergeCell ref="EP24:EQ25"/>
    <mergeCell ref="ES24:ET25"/>
    <mergeCell ref="EV24:EW25"/>
    <mergeCell ref="EJ26:EK27"/>
    <mergeCell ref="EM26:EN27"/>
    <mergeCell ref="EP26:EQ27"/>
    <mergeCell ref="ES26:ET27"/>
    <mergeCell ref="EV26:EW27"/>
    <mergeCell ref="EJ19:EK20"/>
    <mergeCell ref="EM19:EN20"/>
    <mergeCell ref="EP19:EQ20"/>
    <mergeCell ref="ES19:ET20"/>
    <mergeCell ref="EV19:EW20"/>
    <mergeCell ref="EJ22:EK22"/>
    <mergeCell ref="EM22:EN22"/>
    <mergeCell ref="EP22:EQ22"/>
    <mergeCell ref="ES22:ET22"/>
    <mergeCell ref="EV22:EW22"/>
    <mergeCell ref="EJ15:EK15"/>
    <mergeCell ref="EM15:EN15"/>
    <mergeCell ref="EP15:EQ15"/>
    <mergeCell ref="ES15:ET15"/>
    <mergeCell ref="EV15:EW15"/>
    <mergeCell ref="EJ17:EK18"/>
    <mergeCell ref="EM17:EN18"/>
    <mergeCell ref="EP17:EQ18"/>
    <mergeCell ref="ES17:ET18"/>
    <mergeCell ref="EV17:EW18"/>
    <mergeCell ref="EJ10:EK11"/>
    <mergeCell ref="EM10:EN11"/>
    <mergeCell ref="EP10:EQ11"/>
    <mergeCell ref="ES10:ET11"/>
    <mergeCell ref="EV10:EW11"/>
    <mergeCell ref="EJ12:EK13"/>
    <mergeCell ref="EM12:EN13"/>
    <mergeCell ref="EP12:EQ13"/>
    <mergeCell ref="ES12:ET13"/>
    <mergeCell ref="EV12:EW13"/>
    <mergeCell ref="EJ5:EK6"/>
    <mergeCell ref="EM5:EN6"/>
    <mergeCell ref="EP5:EQ6"/>
    <mergeCell ref="ES5:ET6"/>
    <mergeCell ref="EV5:EW6"/>
    <mergeCell ref="EJ8:EK8"/>
    <mergeCell ref="EM8:EN8"/>
    <mergeCell ref="EP8:EQ8"/>
    <mergeCell ref="ES8:ET8"/>
    <mergeCell ref="EV8:EW8"/>
    <mergeCell ref="EM1:EN1"/>
    <mergeCell ref="EP1:EQ1"/>
    <mergeCell ref="ES1:ET1"/>
    <mergeCell ref="EV1:EW1"/>
    <mergeCell ref="EJ3:EK4"/>
    <mergeCell ref="EM3:EN4"/>
    <mergeCell ref="EP3:EQ4"/>
    <mergeCell ref="ES3:ET4"/>
    <mergeCell ref="EV3:EW4"/>
    <mergeCell ref="DU43:DV43"/>
    <mergeCell ref="DU45:DV46"/>
    <mergeCell ref="EA43:EB43"/>
    <mergeCell ref="ED43:EE43"/>
    <mergeCell ref="EG43:EH43"/>
    <mergeCell ref="EA45:EB46"/>
    <mergeCell ref="ED45:EE46"/>
    <mergeCell ref="EG45:EH46"/>
    <mergeCell ref="DX45:DY46"/>
    <mergeCell ref="DU38:DV39"/>
    <mergeCell ref="DU40:DV41"/>
    <mergeCell ref="EA38:EB39"/>
    <mergeCell ref="ED38:EE39"/>
    <mergeCell ref="EG38:EH39"/>
    <mergeCell ref="EA40:EB41"/>
    <mergeCell ref="ED40:EE41"/>
    <mergeCell ref="EG40:EH41"/>
    <mergeCell ref="DU33:DV34"/>
    <mergeCell ref="DU36:DV36"/>
    <mergeCell ref="EA36:EB36"/>
    <mergeCell ref="ED36:EE36"/>
    <mergeCell ref="EG36:EH36"/>
    <mergeCell ref="DU29:DV29"/>
    <mergeCell ref="DU31:DV32"/>
    <mergeCell ref="EA29:EB29"/>
    <mergeCell ref="ED29:EE29"/>
    <mergeCell ref="EG29:EH29"/>
    <mergeCell ref="EA31:EB32"/>
    <mergeCell ref="ED31:EE32"/>
    <mergeCell ref="EG31:EH32"/>
    <mergeCell ref="DX29:DY29"/>
    <mergeCell ref="DU24:DV25"/>
    <mergeCell ref="DU26:DV27"/>
    <mergeCell ref="EA24:EB25"/>
    <mergeCell ref="ED24:EE25"/>
    <mergeCell ref="EG24:EH25"/>
    <mergeCell ref="EA26:EB27"/>
    <mergeCell ref="ED26:EE27"/>
    <mergeCell ref="EG26:EH27"/>
    <mergeCell ref="DU19:DV20"/>
    <mergeCell ref="DU22:DV22"/>
    <mergeCell ref="EA19:EB20"/>
    <mergeCell ref="ED19:EE20"/>
    <mergeCell ref="EG19:EH20"/>
    <mergeCell ref="EA22:EB22"/>
    <mergeCell ref="ED22:EE22"/>
    <mergeCell ref="EG22:EH22"/>
    <mergeCell ref="DX19:DY20"/>
    <mergeCell ref="DU15:DV15"/>
    <mergeCell ref="DU17:DV18"/>
    <mergeCell ref="EA15:EB15"/>
    <mergeCell ref="ED15:EE15"/>
    <mergeCell ref="EG15:EH15"/>
    <mergeCell ref="EA17:EB18"/>
    <mergeCell ref="ED17:EE18"/>
    <mergeCell ref="EG17:EH18"/>
    <mergeCell ref="DX17:DY18"/>
    <mergeCell ref="DU10:DV11"/>
    <mergeCell ref="DU12:DV13"/>
    <mergeCell ref="EA10:EB11"/>
    <mergeCell ref="ED10:EE11"/>
    <mergeCell ref="EG10:EH11"/>
    <mergeCell ref="EA12:EB13"/>
    <mergeCell ref="ED12:EE13"/>
    <mergeCell ref="EG12:EH13"/>
    <mergeCell ref="DU5:DV6"/>
    <mergeCell ref="DU8:DV8"/>
    <mergeCell ref="EA5:EB6"/>
    <mergeCell ref="ED5:EE6"/>
    <mergeCell ref="EG5:EH6"/>
    <mergeCell ref="EA8:EB8"/>
    <mergeCell ref="ED8:EE8"/>
    <mergeCell ref="EG8:EH8"/>
    <mergeCell ref="DU1:DV1"/>
    <mergeCell ref="DU3:DV4"/>
    <mergeCell ref="EA1:EB1"/>
    <mergeCell ref="ED1:EE1"/>
    <mergeCell ref="EG1:EH1"/>
    <mergeCell ref="EA3:EB4"/>
    <mergeCell ref="ED3:EE4"/>
    <mergeCell ref="EG3:EH4"/>
    <mergeCell ref="DF43:DG43"/>
    <mergeCell ref="DI43:DJ43"/>
    <mergeCell ref="DL43:DM43"/>
    <mergeCell ref="DO43:DP43"/>
    <mergeCell ref="DR43:DS43"/>
    <mergeCell ref="DO45:DP46"/>
    <mergeCell ref="DR45:DS46"/>
    <mergeCell ref="DF38:DG39"/>
    <mergeCell ref="DI38:DJ39"/>
    <mergeCell ref="DL38:DM39"/>
    <mergeCell ref="DO38:DP39"/>
    <mergeCell ref="DR38:DS39"/>
    <mergeCell ref="DO40:DP41"/>
    <mergeCell ref="DR40:DS41"/>
    <mergeCell ref="DF33:DG34"/>
    <mergeCell ref="DI33:DJ34"/>
    <mergeCell ref="DL33:DM34"/>
    <mergeCell ref="DO33:DP34"/>
    <mergeCell ref="DR33:DS34"/>
    <mergeCell ref="DO36:DP36"/>
    <mergeCell ref="DR36:DS36"/>
    <mergeCell ref="DF29:DG29"/>
    <mergeCell ref="DI29:DJ29"/>
    <mergeCell ref="DL29:DM29"/>
    <mergeCell ref="DO29:DP29"/>
    <mergeCell ref="DR29:DS29"/>
    <mergeCell ref="DO31:DP32"/>
    <mergeCell ref="DR31:DS32"/>
    <mergeCell ref="DC29:DD29"/>
    <mergeCell ref="DF24:DG25"/>
    <mergeCell ref="DI24:DJ25"/>
    <mergeCell ref="DL24:DM25"/>
    <mergeCell ref="DO24:DP25"/>
    <mergeCell ref="DR24:DS25"/>
    <mergeCell ref="DO26:DP27"/>
    <mergeCell ref="DR26:DS27"/>
    <mergeCell ref="DF19:DG20"/>
    <mergeCell ref="DI19:DJ20"/>
    <mergeCell ref="DL19:DM20"/>
    <mergeCell ref="DO19:DP20"/>
    <mergeCell ref="DR19:DS20"/>
    <mergeCell ref="DO22:DP22"/>
    <mergeCell ref="DR22:DS22"/>
    <mergeCell ref="DC19:DD20"/>
    <mergeCell ref="DF15:DG15"/>
    <mergeCell ref="DI15:DJ15"/>
    <mergeCell ref="DL15:DM15"/>
    <mergeCell ref="DO15:DP15"/>
    <mergeCell ref="DR15:DS15"/>
    <mergeCell ref="DO17:DP18"/>
    <mergeCell ref="DR17:DS18"/>
    <mergeCell ref="DF10:DG11"/>
    <mergeCell ref="DI10:DJ11"/>
    <mergeCell ref="DL10:DM11"/>
    <mergeCell ref="DO10:DP11"/>
    <mergeCell ref="DR10:DS11"/>
    <mergeCell ref="DO12:DP13"/>
    <mergeCell ref="DR12:DS13"/>
    <mergeCell ref="DF5:DG6"/>
    <mergeCell ref="DI5:DJ6"/>
    <mergeCell ref="DL5:DM6"/>
    <mergeCell ref="DO5:DP6"/>
    <mergeCell ref="DR5:DS6"/>
    <mergeCell ref="DO8:DP8"/>
    <mergeCell ref="DR8:DS8"/>
    <mergeCell ref="DF1:DG1"/>
    <mergeCell ref="DI1:DJ1"/>
    <mergeCell ref="DL1:DM1"/>
    <mergeCell ref="DO1:DP1"/>
    <mergeCell ref="DR1:DS1"/>
    <mergeCell ref="DO3:DP4"/>
    <mergeCell ref="DR3:DS4"/>
    <mergeCell ref="CN43:CO43"/>
    <mergeCell ref="CQ43:CR43"/>
    <mergeCell ref="CT43:CU43"/>
    <mergeCell ref="CW43:CX43"/>
    <mergeCell ref="CZ43:DA43"/>
    <mergeCell ref="CN45:CO46"/>
    <mergeCell ref="CQ45:CR46"/>
    <mergeCell ref="CT45:CU46"/>
    <mergeCell ref="CW45:CX46"/>
    <mergeCell ref="CN38:CO39"/>
    <mergeCell ref="CQ38:CR39"/>
    <mergeCell ref="CT38:CU39"/>
    <mergeCell ref="CW38:CX39"/>
    <mergeCell ref="CZ38:DA39"/>
    <mergeCell ref="CN40:CO41"/>
    <mergeCell ref="CQ40:CR41"/>
    <mergeCell ref="CT40:CU41"/>
    <mergeCell ref="CW40:CX41"/>
    <mergeCell ref="CN33:CO34"/>
    <mergeCell ref="CQ33:CR34"/>
    <mergeCell ref="CT33:CU34"/>
    <mergeCell ref="CW33:CX34"/>
    <mergeCell ref="CZ33:DA34"/>
    <mergeCell ref="CN36:CO36"/>
    <mergeCell ref="CQ36:CR36"/>
    <mergeCell ref="CT36:CU36"/>
    <mergeCell ref="CW36:CX36"/>
    <mergeCell ref="CN29:CO29"/>
    <mergeCell ref="CQ29:CR29"/>
    <mergeCell ref="CT29:CU29"/>
    <mergeCell ref="CW29:CX29"/>
    <mergeCell ref="CZ29:DA29"/>
    <mergeCell ref="CN31:CO32"/>
    <mergeCell ref="CQ31:CR32"/>
    <mergeCell ref="CT31:CU32"/>
    <mergeCell ref="CW31:CX32"/>
    <mergeCell ref="CN24:CO25"/>
    <mergeCell ref="CQ24:CR25"/>
    <mergeCell ref="CT24:CU25"/>
    <mergeCell ref="CW24:CX25"/>
    <mergeCell ref="CZ24:DA25"/>
    <mergeCell ref="CN26:CO27"/>
    <mergeCell ref="CQ26:CR27"/>
    <mergeCell ref="CT26:CU27"/>
    <mergeCell ref="CW26:CX27"/>
    <mergeCell ref="CN19:CO20"/>
    <mergeCell ref="CQ19:CR20"/>
    <mergeCell ref="CT19:CU20"/>
    <mergeCell ref="CW19:CX20"/>
    <mergeCell ref="CZ19:DA20"/>
    <mergeCell ref="CN22:CO22"/>
    <mergeCell ref="CQ22:CR22"/>
    <mergeCell ref="CT22:CU22"/>
    <mergeCell ref="CW22:CX22"/>
    <mergeCell ref="CN15:CO15"/>
    <mergeCell ref="CQ15:CR15"/>
    <mergeCell ref="CT15:CU15"/>
    <mergeCell ref="CW15:CX15"/>
    <mergeCell ref="CZ15:DA15"/>
    <mergeCell ref="CN17:CO18"/>
    <mergeCell ref="CQ17:CR18"/>
    <mergeCell ref="CT17:CU18"/>
    <mergeCell ref="CW17:CX18"/>
    <mergeCell ref="CN10:CO11"/>
    <mergeCell ref="CQ10:CR11"/>
    <mergeCell ref="CT10:CU11"/>
    <mergeCell ref="CW10:CX11"/>
    <mergeCell ref="CZ10:DA11"/>
    <mergeCell ref="CN12:CO13"/>
    <mergeCell ref="CQ12:CR13"/>
    <mergeCell ref="CT12:CU13"/>
    <mergeCell ref="CW12:CX13"/>
    <mergeCell ref="CN5:CO6"/>
    <mergeCell ref="CQ5:CR6"/>
    <mergeCell ref="CT5:CU6"/>
    <mergeCell ref="CW5:CX6"/>
    <mergeCell ref="CZ5:DA6"/>
    <mergeCell ref="CN8:CO8"/>
    <mergeCell ref="CQ8:CR8"/>
    <mergeCell ref="CT8:CU8"/>
    <mergeCell ref="CW8:CX8"/>
    <mergeCell ref="CN1:CO1"/>
    <mergeCell ref="CQ1:CR1"/>
    <mergeCell ref="CT1:CU1"/>
    <mergeCell ref="CW1:CX1"/>
    <mergeCell ref="CZ1:DA1"/>
    <mergeCell ref="CN3:CO4"/>
    <mergeCell ref="CQ3:CR4"/>
    <mergeCell ref="CT3:CU4"/>
    <mergeCell ref="CW3:CX4"/>
    <mergeCell ref="BY1:BZ1"/>
    <mergeCell ref="BY43:BZ43"/>
    <mergeCell ref="CB43:CC43"/>
    <mergeCell ref="CE43:CF43"/>
    <mergeCell ref="CH43:CI43"/>
    <mergeCell ref="CK43:CL43"/>
    <mergeCell ref="CE45:CF46"/>
    <mergeCell ref="CH45:CI46"/>
    <mergeCell ref="CK45:CL46"/>
    <mergeCell ref="BY38:BZ39"/>
    <mergeCell ref="CB38:CC39"/>
    <mergeCell ref="CE38:CF39"/>
    <mergeCell ref="CH38:CI39"/>
    <mergeCell ref="CK38:CL39"/>
    <mergeCell ref="CE40:CF41"/>
    <mergeCell ref="CH40:CI41"/>
    <mergeCell ref="CK40:CL41"/>
    <mergeCell ref="BY33:BZ34"/>
    <mergeCell ref="CB33:CC34"/>
    <mergeCell ref="CE33:CF34"/>
    <mergeCell ref="CH33:CI34"/>
    <mergeCell ref="CK33:CL34"/>
    <mergeCell ref="CE36:CF36"/>
    <mergeCell ref="CH36:CI36"/>
    <mergeCell ref="CK36:CL36"/>
    <mergeCell ref="BY29:BZ29"/>
    <mergeCell ref="CB29:CC29"/>
    <mergeCell ref="CE29:CF29"/>
    <mergeCell ref="CH29:CI29"/>
    <mergeCell ref="CK29:CL29"/>
    <mergeCell ref="CE31:CF32"/>
    <mergeCell ref="CH31:CI32"/>
    <mergeCell ref="CK31:CL32"/>
    <mergeCell ref="BY24:BZ25"/>
    <mergeCell ref="CB24:CC25"/>
    <mergeCell ref="CE24:CF25"/>
    <mergeCell ref="CH24:CI25"/>
    <mergeCell ref="CK24:CL25"/>
    <mergeCell ref="CE26:CF27"/>
    <mergeCell ref="CH26:CI27"/>
    <mergeCell ref="CK26:CL27"/>
    <mergeCell ref="BY19:BZ20"/>
    <mergeCell ref="CB19:CC20"/>
    <mergeCell ref="CE19:CF20"/>
    <mergeCell ref="CH19:CI20"/>
    <mergeCell ref="CK19:CL20"/>
    <mergeCell ref="CE22:CF22"/>
    <mergeCell ref="CH22:CI22"/>
    <mergeCell ref="CK22:CL22"/>
    <mergeCell ref="BY15:BZ15"/>
    <mergeCell ref="CB15:CC15"/>
    <mergeCell ref="CE15:CF15"/>
    <mergeCell ref="CH15:CI15"/>
    <mergeCell ref="CK15:CL15"/>
    <mergeCell ref="CE17:CF18"/>
    <mergeCell ref="CH17:CI18"/>
    <mergeCell ref="CK17:CL18"/>
    <mergeCell ref="BY10:BZ11"/>
    <mergeCell ref="CB10:CC11"/>
    <mergeCell ref="CE10:CF11"/>
    <mergeCell ref="CH10:CI11"/>
    <mergeCell ref="CK10:CL11"/>
    <mergeCell ref="CK12:CL13"/>
    <mergeCell ref="BY5:BZ6"/>
    <mergeCell ref="CB5:CC6"/>
    <mergeCell ref="CE5:CF6"/>
    <mergeCell ref="CH5:CI6"/>
    <mergeCell ref="CK5:CL6"/>
    <mergeCell ref="BY8:BZ8"/>
    <mergeCell ref="CB8:CC8"/>
    <mergeCell ref="CE8:CF8"/>
    <mergeCell ref="CH8:CI8"/>
    <mergeCell ref="CK8:CL8"/>
    <mergeCell ref="CB1:CC1"/>
    <mergeCell ref="CE1:CF1"/>
    <mergeCell ref="CH1:CI1"/>
    <mergeCell ref="CK1:CL1"/>
    <mergeCell ref="BY3:BZ4"/>
    <mergeCell ref="CB3:CC4"/>
    <mergeCell ref="CE3:CF4"/>
    <mergeCell ref="CH3:CI4"/>
    <mergeCell ref="CK3:CL4"/>
    <mergeCell ref="BG43:BH43"/>
    <mergeCell ref="BJ43:BK43"/>
    <mergeCell ref="BM43:BN43"/>
    <mergeCell ref="BG45:BH46"/>
    <mergeCell ref="BJ45:BK46"/>
    <mergeCell ref="BM45:BN46"/>
    <mergeCell ref="BP43:BQ43"/>
    <mergeCell ref="BS43:BT43"/>
    <mergeCell ref="BV43:BW43"/>
    <mergeCell ref="BG38:BH39"/>
    <mergeCell ref="BJ38:BK39"/>
    <mergeCell ref="BM38:BN39"/>
    <mergeCell ref="BG40:BH41"/>
    <mergeCell ref="BJ40:BK41"/>
    <mergeCell ref="BM40:BN41"/>
    <mergeCell ref="BP38:BQ39"/>
    <mergeCell ref="BS38:BT39"/>
    <mergeCell ref="BV38:BW39"/>
    <mergeCell ref="BG33:BH34"/>
    <mergeCell ref="BJ33:BK34"/>
    <mergeCell ref="BM33:BN34"/>
    <mergeCell ref="BG36:BH36"/>
    <mergeCell ref="BJ36:BK36"/>
    <mergeCell ref="BM36:BN36"/>
    <mergeCell ref="BP33:BQ34"/>
    <mergeCell ref="BS33:BT34"/>
    <mergeCell ref="BV33:BW34"/>
    <mergeCell ref="BG29:BH29"/>
    <mergeCell ref="BJ29:BK29"/>
    <mergeCell ref="BM29:BN29"/>
    <mergeCell ref="BG31:BH32"/>
    <mergeCell ref="BJ31:BK32"/>
    <mergeCell ref="BM31:BN32"/>
    <mergeCell ref="BP29:BQ29"/>
    <mergeCell ref="BS29:BT29"/>
    <mergeCell ref="BV29:BW29"/>
    <mergeCell ref="BG24:BH25"/>
    <mergeCell ref="BJ24:BK25"/>
    <mergeCell ref="BM24:BN25"/>
    <mergeCell ref="BG26:BH27"/>
    <mergeCell ref="BJ26:BK27"/>
    <mergeCell ref="BM26:BN27"/>
    <mergeCell ref="BP24:BQ25"/>
    <mergeCell ref="BS24:BT25"/>
    <mergeCell ref="BV24:BW25"/>
    <mergeCell ref="BG19:BH20"/>
    <mergeCell ref="BJ19:BK20"/>
    <mergeCell ref="BM19:BN20"/>
    <mergeCell ref="BG22:BH22"/>
    <mergeCell ref="BJ22:BK22"/>
    <mergeCell ref="BM22:BN22"/>
    <mergeCell ref="BP19:BQ20"/>
    <mergeCell ref="BS19:BT20"/>
    <mergeCell ref="BV19:BW20"/>
    <mergeCell ref="BG15:BH15"/>
    <mergeCell ref="BJ15:BK15"/>
    <mergeCell ref="BM15:BN15"/>
    <mergeCell ref="BG17:BH18"/>
    <mergeCell ref="BJ17:BK18"/>
    <mergeCell ref="BM17:BN18"/>
    <mergeCell ref="BP15:BQ15"/>
    <mergeCell ref="BS15:BT15"/>
    <mergeCell ref="BV15:BW15"/>
    <mergeCell ref="BG10:BH11"/>
    <mergeCell ref="BJ10:BK11"/>
    <mergeCell ref="BM10:BN11"/>
    <mergeCell ref="BG12:BH13"/>
    <mergeCell ref="BJ12:BK13"/>
    <mergeCell ref="BM12:BN13"/>
    <mergeCell ref="BV10:BW11"/>
    <mergeCell ref="BP12:BQ13"/>
    <mergeCell ref="BS12:BT13"/>
    <mergeCell ref="BG5:BH6"/>
    <mergeCell ref="BJ5:BK6"/>
    <mergeCell ref="BM5:BN6"/>
    <mergeCell ref="BG8:BH8"/>
    <mergeCell ref="BJ8:BK8"/>
    <mergeCell ref="BM8:BN8"/>
    <mergeCell ref="BG1:BH1"/>
    <mergeCell ref="BJ1:BK1"/>
    <mergeCell ref="BM1:BN1"/>
    <mergeCell ref="BG3:BH4"/>
    <mergeCell ref="BJ3:BK4"/>
    <mergeCell ref="BM3:BN4"/>
    <mergeCell ref="AU1:AV1"/>
    <mergeCell ref="AU43:AV43"/>
    <mergeCell ref="AX43:AY43"/>
    <mergeCell ref="BA43:BB43"/>
    <mergeCell ref="BD43:BE43"/>
    <mergeCell ref="AU45:AV46"/>
    <mergeCell ref="AX45:AY46"/>
    <mergeCell ref="BA45:BB46"/>
    <mergeCell ref="BD45:BE46"/>
    <mergeCell ref="AU38:AV39"/>
    <mergeCell ref="AX38:AY39"/>
    <mergeCell ref="BA38:BB39"/>
    <mergeCell ref="BD38:BE39"/>
    <mergeCell ref="AU40:AV41"/>
    <mergeCell ref="AX40:AY41"/>
    <mergeCell ref="BA40:BB41"/>
    <mergeCell ref="BD40:BE41"/>
    <mergeCell ref="AU33:AV34"/>
    <mergeCell ref="AX33:AY34"/>
    <mergeCell ref="BA33:BB34"/>
    <mergeCell ref="BD33:BE34"/>
    <mergeCell ref="AU36:AV36"/>
    <mergeCell ref="AX36:AY36"/>
    <mergeCell ref="BA36:BB36"/>
    <mergeCell ref="BD36:BE36"/>
    <mergeCell ref="AU29:AV29"/>
    <mergeCell ref="AX29:AY29"/>
    <mergeCell ref="BA29:BB29"/>
    <mergeCell ref="BD29:BE29"/>
    <mergeCell ref="AU31:AV32"/>
    <mergeCell ref="AX31:AY32"/>
    <mergeCell ref="BA31:BB32"/>
    <mergeCell ref="BD31:BE32"/>
    <mergeCell ref="AR31:AS32"/>
    <mergeCell ref="AU24:AV25"/>
    <mergeCell ref="AX24:AY25"/>
    <mergeCell ref="BA24:BB25"/>
    <mergeCell ref="BD24:BE25"/>
    <mergeCell ref="AU26:AV27"/>
    <mergeCell ref="AX26:AY27"/>
    <mergeCell ref="BA26:BB27"/>
    <mergeCell ref="BD26:BE27"/>
    <mergeCell ref="AU19:AV20"/>
    <mergeCell ref="AX19:AY20"/>
    <mergeCell ref="BA19:BB20"/>
    <mergeCell ref="BD19:BE20"/>
    <mergeCell ref="AU22:AV22"/>
    <mergeCell ref="AX22:AY22"/>
    <mergeCell ref="BA22:BB22"/>
    <mergeCell ref="BD22:BE22"/>
    <mergeCell ref="AU15:AV15"/>
    <mergeCell ref="AX15:AY15"/>
    <mergeCell ref="BA15:BB15"/>
    <mergeCell ref="BD15:BE15"/>
    <mergeCell ref="AU17:AV18"/>
    <mergeCell ref="AX17:AY18"/>
    <mergeCell ref="BA17:BB18"/>
    <mergeCell ref="BD17:BE18"/>
    <mergeCell ref="AU10:AV11"/>
    <mergeCell ref="AX10:AY11"/>
    <mergeCell ref="BA10:BB11"/>
    <mergeCell ref="BD10:BE11"/>
    <mergeCell ref="AU12:AV13"/>
    <mergeCell ref="AX12:AY13"/>
    <mergeCell ref="BA12:BB13"/>
    <mergeCell ref="BD12:BE13"/>
    <mergeCell ref="AU5:AV6"/>
    <mergeCell ref="AX5:AY6"/>
    <mergeCell ref="BA5:BB6"/>
    <mergeCell ref="BD5:BE6"/>
    <mergeCell ref="AU8:AV8"/>
    <mergeCell ref="AX8:AY8"/>
    <mergeCell ref="BA8:BB8"/>
    <mergeCell ref="BD8:BE8"/>
    <mergeCell ref="AX1:AY1"/>
    <mergeCell ref="BA1:BB1"/>
    <mergeCell ref="BD1:BE1"/>
    <mergeCell ref="AU3:AV4"/>
    <mergeCell ref="AX3:AY4"/>
    <mergeCell ref="BA3:BB4"/>
    <mergeCell ref="BD3:BE4"/>
    <mergeCell ref="AC45:AD46"/>
    <mergeCell ref="AF45:AG46"/>
    <mergeCell ref="AI45:AJ46"/>
    <mergeCell ref="AL45:AM46"/>
    <mergeCell ref="AO45:AP46"/>
    <mergeCell ref="AC38:AD39"/>
    <mergeCell ref="AF38:AG39"/>
    <mergeCell ref="AI38:AJ39"/>
    <mergeCell ref="AL38:AM39"/>
    <mergeCell ref="AO38:AP39"/>
    <mergeCell ref="AC40:AD41"/>
    <mergeCell ref="AF40:AG41"/>
    <mergeCell ref="AI40:AJ41"/>
    <mergeCell ref="AL40:AM41"/>
    <mergeCell ref="AC36:AD36"/>
    <mergeCell ref="AF36:AG36"/>
    <mergeCell ref="AI36:AJ36"/>
    <mergeCell ref="AL36:AM36"/>
    <mergeCell ref="AO36:AP36"/>
    <mergeCell ref="AC29:AD29"/>
    <mergeCell ref="AF29:AG29"/>
    <mergeCell ref="AI29:AJ29"/>
    <mergeCell ref="AL29:AM29"/>
    <mergeCell ref="AO29:AP29"/>
    <mergeCell ref="AC31:AD32"/>
    <mergeCell ref="AF31:AG32"/>
    <mergeCell ref="AI31:AJ32"/>
    <mergeCell ref="AL31:AM32"/>
    <mergeCell ref="AC26:AD27"/>
    <mergeCell ref="AF26:AG27"/>
    <mergeCell ref="AI26:AJ27"/>
    <mergeCell ref="AL26:AM27"/>
    <mergeCell ref="AO26:AP27"/>
    <mergeCell ref="AC19:AD20"/>
    <mergeCell ref="AF19:AG20"/>
    <mergeCell ref="AI19:AJ20"/>
    <mergeCell ref="AL19:AM20"/>
    <mergeCell ref="AO19:AP20"/>
    <mergeCell ref="AC22:AD22"/>
    <mergeCell ref="AF22:AG22"/>
    <mergeCell ref="AI22:AJ22"/>
    <mergeCell ref="AL22:AM22"/>
    <mergeCell ref="AF15:AG15"/>
    <mergeCell ref="AI15:AJ15"/>
    <mergeCell ref="AL15:AM15"/>
    <mergeCell ref="AO15:AP15"/>
    <mergeCell ref="AC17:AD18"/>
    <mergeCell ref="AF17:AG18"/>
    <mergeCell ref="AI17:AJ18"/>
    <mergeCell ref="AL17:AM18"/>
    <mergeCell ref="AO17:AP18"/>
    <mergeCell ref="AI10:AJ11"/>
    <mergeCell ref="AL10:AM11"/>
    <mergeCell ref="AO10:AP11"/>
    <mergeCell ref="AI12:AJ13"/>
    <mergeCell ref="AL12:AM13"/>
    <mergeCell ref="AO12:AP13"/>
    <mergeCell ref="AI5:AJ6"/>
    <mergeCell ref="AL5:AM6"/>
    <mergeCell ref="AO5:AP6"/>
    <mergeCell ref="AI8:AJ8"/>
    <mergeCell ref="AL8:AM8"/>
    <mergeCell ref="AO8:AP8"/>
    <mergeCell ref="AI1:AJ1"/>
    <mergeCell ref="AL1:AM1"/>
    <mergeCell ref="AO1:AP1"/>
    <mergeCell ref="AI3:AJ4"/>
    <mergeCell ref="AL3:AM4"/>
    <mergeCell ref="AO3:AP4"/>
    <mergeCell ref="N47:O48"/>
    <mergeCell ref="Q47:R48"/>
    <mergeCell ref="T10:U11"/>
    <mergeCell ref="N43:O43"/>
    <mergeCell ref="Q43:R43"/>
    <mergeCell ref="N45:O46"/>
    <mergeCell ref="Q45:R46"/>
    <mergeCell ref="T43:U43"/>
    <mergeCell ref="W43:X43"/>
    <mergeCell ref="Z43:AA43"/>
    <mergeCell ref="T45:U46"/>
    <mergeCell ref="W45:X46"/>
    <mergeCell ref="Z45:AA46"/>
    <mergeCell ref="N38:O39"/>
    <mergeCell ref="Q38:R39"/>
    <mergeCell ref="N40:O41"/>
    <mergeCell ref="Q40:R41"/>
    <mergeCell ref="T38:U39"/>
    <mergeCell ref="W38:X39"/>
    <mergeCell ref="Z38:AA39"/>
    <mergeCell ref="T40:U41"/>
    <mergeCell ref="W40:X41"/>
    <mergeCell ref="Z40:AA41"/>
    <mergeCell ref="N33:O34"/>
    <mergeCell ref="Q33:R34"/>
    <mergeCell ref="N36:O36"/>
    <mergeCell ref="Q36:R36"/>
    <mergeCell ref="T33:U34"/>
    <mergeCell ref="W33:X34"/>
    <mergeCell ref="Z33:AA34"/>
    <mergeCell ref="T36:U36"/>
    <mergeCell ref="W36:X36"/>
    <mergeCell ref="Z36:AA36"/>
    <mergeCell ref="N29:O29"/>
    <mergeCell ref="Q29:R29"/>
    <mergeCell ref="N31:O32"/>
    <mergeCell ref="Q31:R32"/>
    <mergeCell ref="T29:U29"/>
    <mergeCell ref="W29:X29"/>
    <mergeCell ref="Z29:AA29"/>
    <mergeCell ref="T31:U32"/>
    <mergeCell ref="W31:X32"/>
    <mergeCell ref="Z31:AA32"/>
    <mergeCell ref="N24:O25"/>
    <mergeCell ref="Q24:R25"/>
    <mergeCell ref="N26:O27"/>
    <mergeCell ref="Q26:R27"/>
    <mergeCell ref="T24:U25"/>
    <mergeCell ref="W24:X25"/>
    <mergeCell ref="Z24:AA25"/>
    <mergeCell ref="T26:U27"/>
    <mergeCell ref="W26:X27"/>
    <mergeCell ref="Z26:AA27"/>
    <mergeCell ref="N19:O20"/>
    <mergeCell ref="Q19:R20"/>
    <mergeCell ref="N22:O22"/>
    <mergeCell ref="Q22:R22"/>
    <mergeCell ref="T19:U20"/>
    <mergeCell ref="W19:X20"/>
    <mergeCell ref="Z19:AA20"/>
    <mergeCell ref="T22:U22"/>
    <mergeCell ref="W22:X22"/>
    <mergeCell ref="Z22:AA22"/>
    <mergeCell ref="N15:O15"/>
    <mergeCell ref="Q15:R15"/>
    <mergeCell ref="N17:O18"/>
    <mergeCell ref="Q17:R18"/>
    <mergeCell ref="T15:U15"/>
    <mergeCell ref="W15:X15"/>
    <mergeCell ref="Z15:AA15"/>
    <mergeCell ref="T17:U18"/>
    <mergeCell ref="W17:X18"/>
    <mergeCell ref="Z17:AA18"/>
    <mergeCell ref="N10:O11"/>
    <mergeCell ref="Q10:R11"/>
    <mergeCell ref="N12:O13"/>
    <mergeCell ref="Q12:R13"/>
    <mergeCell ref="W10:X11"/>
    <mergeCell ref="Z10:AA11"/>
    <mergeCell ref="T12:U13"/>
    <mergeCell ref="W12:X13"/>
    <mergeCell ref="Z12:AA13"/>
    <mergeCell ref="N5:O6"/>
    <mergeCell ref="Q5:R6"/>
    <mergeCell ref="N8:O8"/>
    <mergeCell ref="Q8:R8"/>
    <mergeCell ref="N1:O1"/>
    <mergeCell ref="Q1:R1"/>
    <mergeCell ref="N3:O4"/>
    <mergeCell ref="Q3:R4"/>
    <mergeCell ref="B45:C46"/>
    <mergeCell ref="E45:F46"/>
    <mergeCell ref="H45:I46"/>
    <mergeCell ref="K45:L46"/>
    <mergeCell ref="B47:C48"/>
    <mergeCell ref="E47:F48"/>
    <mergeCell ref="H47:I48"/>
    <mergeCell ref="K47:L48"/>
    <mergeCell ref="H40:I41"/>
    <mergeCell ref="K40:L41"/>
    <mergeCell ref="B43:C43"/>
    <mergeCell ref="E43:F43"/>
    <mergeCell ref="H43:I43"/>
    <mergeCell ref="K43:L43"/>
    <mergeCell ref="K36:L36"/>
    <mergeCell ref="B38:C39"/>
    <mergeCell ref="E38:F39"/>
    <mergeCell ref="H38:I39"/>
    <mergeCell ref="K38:L39"/>
    <mergeCell ref="K29:L29"/>
    <mergeCell ref="B31:C32"/>
    <mergeCell ref="E31:F32"/>
    <mergeCell ref="H31:I32"/>
    <mergeCell ref="E33:F34"/>
    <mergeCell ref="H33:I34"/>
    <mergeCell ref="K33:L34"/>
    <mergeCell ref="K24:L25"/>
    <mergeCell ref="B26:C27"/>
    <mergeCell ref="E26:F27"/>
    <mergeCell ref="H26:I27"/>
    <mergeCell ref="K26:L27"/>
    <mergeCell ref="K10:L11"/>
    <mergeCell ref="E12:F13"/>
    <mergeCell ref="H12:I13"/>
    <mergeCell ref="K12:L13"/>
    <mergeCell ref="B15:C15"/>
    <mergeCell ref="E15:F15"/>
    <mergeCell ref="H15:I15"/>
    <mergeCell ref="K15:L15"/>
    <mergeCell ref="E17:F18"/>
    <mergeCell ref="H17:I18"/>
    <mergeCell ref="B10:C11"/>
    <mergeCell ref="B12:C13"/>
    <mergeCell ref="E10:F11"/>
    <mergeCell ref="H10:I11"/>
    <mergeCell ref="B17:C18"/>
    <mergeCell ref="B19:C20"/>
    <mergeCell ref="E19:F20"/>
    <mergeCell ref="H19:I20"/>
    <mergeCell ref="B33:C34"/>
    <mergeCell ref="K31:L32"/>
    <mergeCell ref="K17:L18"/>
    <mergeCell ref="K19:L20"/>
    <mergeCell ref="B22:C22"/>
    <mergeCell ref="E22:F22"/>
    <mergeCell ref="H22:I22"/>
    <mergeCell ref="K22:L22"/>
    <mergeCell ref="B24:C25"/>
    <mergeCell ref="E24:F25"/>
    <mergeCell ref="H24:I25"/>
    <mergeCell ref="B29:C29"/>
    <mergeCell ref="E29:F29"/>
    <mergeCell ref="H29:I29"/>
    <mergeCell ref="B36:C36"/>
    <mergeCell ref="E36:F36"/>
    <mergeCell ref="H36:I36"/>
    <mergeCell ref="B40:C41"/>
    <mergeCell ref="E40:F41"/>
    <mergeCell ref="H5:I6"/>
    <mergeCell ref="E1:F1"/>
    <mergeCell ref="H3:I4"/>
    <mergeCell ref="E8:F8"/>
    <mergeCell ref="K8:L8"/>
    <mergeCell ref="H1:I1"/>
    <mergeCell ref="B5:C6"/>
    <mergeCell ref="B1:C1"/>
    <mergeCell ref="B3:C4"/>
    <mergeCell ref="K1:L1"/>
    <mergeCell ref="E3:F4"/>
    <mergeCell ref="K3:L4"/>
    <mergeCell ref="H8:I8"/>
    <mergeCell ref="E5:F6"/>
    <mergeCell ref="K5:L6"/>
    <mergeCell ref="B8:C8"/>
  </mergeCells>
  <phoneticPr fontId="1"/>
  <pageMargins left="0" right="0" top="0" bottom="0" header="0.31496062992125984" footer="0.31496062992125984"/>
  <pageSetup paperSize="9" scale="98" fitToWidth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Gemini抽出データ</vt:lpstr>
      <vt:lpstr>シール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井﨑 優</dc:creator>
  <cp:lastModifiedBy>井﨑 優</cp:lastModifiedBy>
  <cp:lastPrinted>2025-12-07T03:11:45Z</cp:lastPrinted>
  <dcterms:created xsi:type="dcterms:W3CDTF">2025-11-16T18:14:11Z</dcterms:created>
  <dcterms:modified xsi:type="dcterms:W3CDTF">2025-12-07T03:25:59Z</dcterms:modified>
</cp:coreProperties>
</file>